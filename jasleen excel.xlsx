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730" windowHeight="11760"/>
  </bookViews>
  <sheets>
    <sheet name="Sheet1" sheetId="1" r:id="rId1"/>
    <sheet name="Sheet4" sheetId="4" r:id="rId2"/>
    <sheet name="Sheet2" sheetId="2" r:id="rId3"/>
    <sheet name="Sheet3" sheetId="3" r:id="rId4"/>
  </sheets>
  <calcPr calcId="145621"/>
</workbook>
</file>

<file path=xl/calcChain.xml><?xml version="1.0" encoding="utf-8"?>
<calcChain xmlns="http://schemas.openxmlformats.org/spreadsheetml/2006/main">
  <c r="E34" i="3" l="1"/>
  <c r="E30" i="3"/>
  <c r="E33" i="3"/>
  <c r="E32" i="3"/>
  <c r="E31" i="3"/>
  <c r="E29" i="3"/>
  <c r="E28" i="3"/>
  <c r="E27" i="3"/>
  <c r="E26" i="3"/>
  <c r="E25" i="3"/>
  <c r="E24" i="3"/>
  <c r="E23" i="3"/>
  <c r="G21" i="3"/>
  <c r="E22" i="3"/>
  <c r="E21" i="3"/>
  <c r="E20" i="3"/>
  <c r="E19" i="3"/>
  <c r="E18" i="3"/>
  <c r="E17" i="3"/>
  <c r="E16" i="3"/>
  <c r="E15" i="3"/>
  <c r="E14" i="3"/>
  <c r="F13" i="3"/>
  <c r="E13" i="3"/>
</calcChain>
</file>

<file path=xl/sharedStrings.xml><?xml version="1.0" encoding="utf-8"?>
<sst xmlns="http://schemas.openxmlformats.org/spreadsheetml/2006/main" count="305" uniqueCount="122">
  <si>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</si>
  <si>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</si>
  <si>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</si>
  <si>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</si>
  <si>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</si>
  <si>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</si>
  <si>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</si>
  <si>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</si>
  <si>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</si>
  <si>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</si>
  <si>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</si>
  <si>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1. Apply conditional formatting to highlight cells in the Sales column (D) with values greater than or equal to 150.</t>
  </si>
  <si>
    <t>2. Apply conditional formatting to highlight the entire row for entries where the Product is "Product A".</t>
  </si>
  <si>
    <t>3. Apply conditional formatting to highlight cells in the Date column (C) that fall within January 2024.</t>
  </si>
  <si>
    <t>4. Apply conditional formatting to highlight the top 3 sales values in the Sales column (D).</t>
  </si>
  <si>
    <t>5. Apply conditional formatting to highlight sales for "Product B" in the "North" region.</t>
  </si>
  <si>
    <t>Order_ID</t>
  </si>
  <si>
    <t>Category</t>
  </si>
  <si>
    <t>Quantity</t>
  </si>
  <si>
    <t>Unit_Price</t>
  </si>
  <si>
    <t>Total_Sales</t>
  </si>
  <si>
    <t>Salesperson</t>
  </si>
  <si>
    <t>ORD1001</t>
  </si>
  <si>
    <t>Accessories</t>
  </si>
  <si>
    <t>Chair</t>
  </si>
  <si>
    <t>Amit</t>
  </si>
  <si>
    <t>ORD1002</t>
  </si>
  <si>
    <t>Furniture</t>
  </si>
  <si>
    <t>Headphones</t>
  </si>
  <si>
    <t>Vikas</t>
  </si>
  <si>
    <t>ORD1003</t>
  </si>
  <si>
    <t>Electronics</t>
  </si>
  <si>
    <t>Tablet</t>
  </si>
  <si>
    <t>ORD1004</t>
  </si>
  <si>
    <t>Mobile</t>
  </si>
  <si>
    <t>ORD1005</t>
  </si>
  <si>
    <t>ORD1006</t>
  </si>
  <si>
    <t>Laptop</t>
  </si>
  <si>
    <t>Sneha</t>
  </si>
  <si>
    <t>ORD1007</t>
  </si>
  <si>
    <t>Mouse</t>
  </si>
  <si>
    <t>ORD1009</t>
  </si>
  <si>
    <t>John</t>
  </si>
  <si>
    <t>ORD1010</t>
  </si>
  <si>
    <t>ORD1011</t>
  </si>
  <si>
    <t>ORD1012</t>
  </si>
  <si>
    <t>Riya</t>
  </si>
  <si>
    <t>ORD1013</t>
  </si>
  <si>
    <t>ORD1014</t>
  </si>
  <si>
    <t>ORD1015</t>
  </si>
  <si>
    <t>ORD1017</t>
  </si>
  <si>
    <t>ORD1018</t>
  </si>
  <si>
    <t>ORD1019</t>
  </si>
  <si>
    <t>ORD1020</t>
  </si>
  <si>
    <t>ORD1021</t>
  </si>
  <si>
    <t>ORD1022</t>
  </si>
  <si>
    <t>ORD1023</t>
  </si>
  <si>
    <t>ORD1025</t>
  </si>
  <si>
    <t>ORD1026</t>
  </si>
  <si>
    <t>ORD1027</t>
  </si>
  <si>
    <t>ORD1028</t>
  </si>
  <si>
    <t>ORD1029</t>
  </si>
  <si>
    <t>ORD1030</t>
  </si>
  <si>
    <t>ORD1031</t>
  </si>
  <si>
    <t>ORD1033</t>
  </si>
  <si>
    <t>ORD1034</t>
  </si>
  <si>
    <t>ORD1035</t>
  </si>
  <si>
    <t>ORD1036</t>
  </si>
  <si>
    <t>ORD1037</t>
  </si>
  <si>
    <t>ORD1038</t>
  </si>
  <si>
    <t>ORD1039</t>
  </si>
  <si>
    <t>Sr.No</t>
  </si>
  <si>
    <t>AF Code- Student ID</t>
  </si>
  <si>
    <t>Full Name</t>
  </si>
  <si>
    <t>Gender</t>
  </si>
  <si>
    <t>age</t>
  </si>
  <si>
    <t>height</t>
  </si>
  <si>
    <t>width</t>
  </si>
  <si>
    <t>AF0414608</t>
  </si>
  <si>
    <t>Sneha Ajaykumar Shukla</t>
  </si>
  <si>
    <t>F</t>
  </si>
  <si>
    <t>AF0418181</t>
  </si>
  <si>
    <t>Aarya Sharma</t>
  </si>
  <si>
    <t>AF0415277</t>
  </si>
  <si>
    <t>Aniket Santosh Chile</t>
  </si>
  <si>
    <t>M</t>
  </si>
  <si>
    <t>AF0418309</t>
  </si>
  <si>
    <t>Harsh kailash sen</t>
  </si>
  <si>
    <t>AF0414529</t>
  </si>
  <si>
    <t>Akash Singh</t>
  </si>
  <si>
    <t>AF0414528</t>
  </si>
  <si>
    <t>Snehal Suhas Kadam</t>
  </si>
  <si>
    <t>AF0414527</t>
  </si>
  <si>
    <t>Tejas Shivaji Belote</t>
  </si>
  <si>
    <t>AF0416771</t>
  </si>
  <si>
    <t>Munshi Mohd. Fazal Rafique</t>
  </si>
  <si>
    <t>AF0417025</t>
  </si>
  <si>
    <t>Sonali Raghunath Thule</t>
  </si>
  <si>
    <t>AF0415249</t>
  </si>
  <si>
    <t>Gaurav Yadav</t>
  </si>
  <si>
    <t>SUMIF=&gt;</t>
  </si>
  <si>
    <t>MIN=&gt;</t>
  </si>
  <si>
    <t>MAX=&gt;</t>
  </si>
  <si>
    <t>AVERAGE=&gt;</t>
  </si>
  <si>
    <t>COUNT=&gt;</t>
  </si>
  <si>
    <t>COUNTBLANK=&gt;</t>
  </si>
  <si>
    <t>POWER=&gt;</t>
  </si>
  <si>
    <t>CONCAT=&gt;</t>
  </si>
  <si>
    <t>TRIM=&gt;</t>
  </si>
  <si>
    <t>REPLACE=&gt;</t>
  </si>
  <si>
    <t>LEFT=&gt;</t>
  </si>
  <si>
    <t>MID=&gt;</t>
  </si>
  <si>
    <t>RIGHT=&gt;</t>
  </si>
  <si>
    <t>UPPER=&gt;</t>
  </si>
  <si>
    <t>LOWER=&gt;</t>
  </si>
  <si>
    <t>DATE=&gt;</t>
  </si>
  <si>
    <t>SECOND=&gt;</t>
  </si>
  <si>
    <t>DAY=&gt;</t>
  </si>
  <si>
    <t>MONTH=&gt;</t>
  </si>
  <si>
    <t>YEAR=&gt;</t>
  </si>
  <si>
    <t>if=&gt;</t>
  </si>
  <si>
    <t xml:space="preserve">SUM=&gt;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</si>
</sst>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\-dd\-yyyy"/>
    <numFmt numFmtId="165" formatCode="yyyy\-mm\-dd\ h:mm:ss"/>
  </numFmts>
  <fonts count="10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FFFFFF"/>
      <name val="Calibri"/>
    </font>
    <font>
      <b/>
      <u/>
      <sz val="10"/>
      <color rgb="FF1155CC"/>
      <name val="Arial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Roboto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2" fillId="2" borderId="0" xfId="0" applyFont="1" applyFill="1" applyAlignment="1"/>
    <xf numFmtId="0" fontId="2" fillId="0" borderId="0" xfId="0" applyFont="1" applyAlignment="1">
      <alignment horizontal="center"/>
    </xf>
    <xf numFmtId="0" fontId="3" fillId="3" borderId="0" xfId="0" applyFont="1" applyFill="1" applyAlignment="1"/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3" xfId="0" applyFont="1" applyBorder="1" applyAlignment="1"/>
    <xf numFmtId="0" fontId="7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0" xfId="0" applyFont="1" applyAlignment="1"/>
    <xf numFmtId="0" fontId="6" fillId="0" borderId="0" xfId="0" applyFont="1" applyFill="1" applyBorder="1" applyAlignment="1">
      <alignment horizontal="center"/>
    </xf>
    <xf numFmtId="0" fontId="0" fillId="0" borderId="0" xfId="0" applyNumberFormat="1" applyFont="1" applyAlignment="1"/>
    <xf numFmtId="22" fontId="0" fillId="0" borderId="0" xfId="0" applyNumberFormat="1" applyFont="1" applyAlignment="1"/>
    <xf numFmtId="0" fontId="2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164" fontId="2" fillId="5" borderId="0" xfId="0" applyNumberFormat="1" applyFont="1" applyFill="1" applyAlignment="1">
      <alignment horizontal="center"/>
    </xf>
    <xf numFmtId="0" fontId="2" fillId="0" borderId="0" xfId="0" applyFont="1" applyAlignment="1"/>
    <xf numFmtId="0" fontId="0" fillId="0" borderId="0" xfId="0" applyFont="1" applyAlignment="1"/>
    <xf numFmtId="0" fontId="9" fillId="5" borderId="0" xfId="0" applyFont="1" applyFill="1" applyAlignment="1">
      <alignment horizontal="center"/>
    </xf>
  </cellXfs>
  <cellStyles count="1">
    <cellStyle name="Normal" xfId="0" builtinId="0"/>
  </cellStyles>
  <dxfs count="146"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fgColor rgb="FF7030A0"/>
          <bgColor rgb="FF7030A0"/>
        </patternFill>
      </fill>
    </dxf>
    <dxf>
      <fill>
        <patternFill>
          <bgColor rgb="FF002060"/>
        </patternFill>
      </fill>
    </dxf>
    <dxf>
      <fill>
        <patternFill>
          <fgColor rgb="FFFF0000"/>
        </patternFill>
      </fill>
    </dxf>
    <dxf>
      <fill>
        <patternFill>
          <bgColor rgb="FFFFC000"/>
        </patternFill>
      </fill>
    </dxf>
    <dxf>
      <fill>
        <patternFill>
          <bgColor theme="5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fgColor rgb="FF7030A0"/>
          <bgColor rgb="FF7030A0"/>
        </patternFill>
      </fill>
    </dxf>
    <dxf>
      <fill>
        <patternFill>
          <bgColor rgb="FF002060"/>
        </patternFill>
      </fill>
    </dxf>
    <dxf>
      <fill>
        <patternFill>
          <fgColor rgb="FFFF0000"/>
        </patternFill>
      </fill>
    </dxf>
    <dxf>
      <fill>
        <patternFill>
          <bgColor rgb="FFFFC000"/>
        </patternFill>
      </fill>
    </dxf>
    <dxf>
      <fill>
        <patternFill>
          <bgColor theme="5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fgColor rgb="FF7030A0"/>
          <bgColor rgb="FF7030A0"/>
        </patternFill>
      </fill>
    </dxf>
    <dxf>
      <fill>
        <patternFill>
          <bgColor rgb="FF002060"/>
        </patternFill>
      </fill>
    </dxf>
    <dxf>
      <fill>
        <patternFill>
          <fgColor rgb="FFFF0000"/>
        </patternFill>
      </fill>
    </dxf>
    <dxf>
      <fill>
        <patternFill>
          <bgColor rgb="FFFFC000"/>
        </patternFill>
      </fill>
    </dxf>
    <dxf>
      <fill>
        <patternFill>
          <bgColor theme="5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fgColor rgb="FF7030A0"/>
          <bgColor rgb="FF7030A0"/>
        </patternFill>
      </fill>
    </dxf>
    <dxf>
      <fill>
        <patternFill>
          <bgColor rgb="FF002060"/>
        </patternFill>
      </fill>
    </dxf>
    <dxf>
      <fill>
        <patternFill>
          <f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7"/>
  <sheetViews>
    <sheetView tabSelected="1" zoomScaleNormal="100" workbookViewId="0">
      <selection activeCell="L22" sqref="L22"/>
    </sheetView>
  </sheetViews>
  <sheetFormatPr defaultColWidth="12.5703125" defaultRowHeight="15.75" customHeight="1"/>
  <cols>
    <col min="8" max="8" width="12.140625" customWidth="1"/>
  </cols>
  <sheetData>
    <row r="1" spans="1:13" ht="1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7" t="s">
        <v>0</v>
      </c>
      <c r="K1" s="27" t="s">
        <v>1</v>
      </c>
      <c r="L1" s="27" t="s">
        <v>2</v>
      </c>
      <c r="M1" s="27" t="s">
        <v>3</v>
      </c>
    </row>
    <row r="2" spans="1:13" ht="15.75" customHeight="1">
      <c r="A2" s="3" t="s">
        <v>4</v>
      </c>
      <c r="B2" s="3" t="s">
        <v>5</v>
      </c>
      <c r="C2" s="4">
        <v>45292</v>
      </c>
      <c r="D2" s="3">
        <v>120</v>
      </c>
      <c r="E2" s="2"/>
      <c r="F2" s="2"/>
      <c r="G2" s="2"/>
      <c r="H2" s="2"/>
      <c r="I2" s="2"/>
      <c r="J2" s="26" t="s">
        <v>4</v>
      </c>
      <c r="K2" s="26" t="s">
        <v>5</v>
      </c>
      <c r="L2" s="28">
        <v>45292</v>
      </c>
      <c r="M2" s="26">
        <v>120</v>
      </c>
    </row>
    <row r="3" spans="1:13" ht="15">
      <c r="A3" s="3" t="s">
        <v>6</v>
      </c>
      <c r="B3" s="3" t="s">
        <v>7</v>
      </c>
      <c r="C3" s="4">
        <v>45323</v>
      </c>
      <c r="D3" s="3">
        <v>150</v>
      </c>
      <c r="E3" s="2"/>
      <c r="F3" s="2"/>
      <c r="G3" s="2"/>
      <c r="H3" s="2"/>
      <c r="I3" s="2"/>
      <c r="J3" s="26" t="s">
        <v>6</v>
      </c>
      <c r="K3" s="26" t="s">
        <v>7</v>
      </c>
      <c r="L3" s="28">
        <v>45323</v>
      </c>
      <c r="M3" s="26">
        <v>150</v>
      </c>
    </row>
    <row r="4" spans="1:13" ht="15">
      <c r="A4" s="3" t="s">
        <v>4</v>
      </c>
      <c r="B4" s="3" t="s">
        <v>8</v>
      </c>
      <c r="C4" s="4">
        <v>45352</v>
      </c>
      <c r="D4" s="3">
        <v>200</v>
      </c>
      <c r="E4" s="2"/>
      <c r="F4" s="2"/>
      <c r="G4" s="2"/>
      <c r="H4" s="2"/>
      <c r="I4" s="2"/>
      <c r="J4" s="26" t="s">
        <v>4</v>
      </c>
      <c r="K4" s="26" t="s">
        <v>8</v>
      </c>
      <c r="L4" s="28">
        <v>45352</v>
      </c>
      <c r="M4" s="26">
        <v>200</v>
      </c>
    </row>
    <row r="5" spans="1:13" ht="15">
      <c r="A5" s="3" t="s">
        <v>9</v>
      </c>
      <c r="B5" s="3" t="s">
        <v>10</v>
      </c>
      <c r="C5" s="4">
        <v>45383</v>
      </c>
      <c r="D5" s="3">
        <v>90</v>
      </c>
      <c r="E5" s="2"/>
      <c r="F5" s="2"/>
      <c r="G5" s="2"/>
      <c r="H5" s="2"/>
      <c r="I5" s="2"/>
      <c r="J5" s="31" t="s">
        <v>9</v>
      </c>
      <c r="K5" s="26" t="s">
        <v>10</v>
      </c>
      <c r="L5" s="28">
        <v>45383</v>
      </c>
      <c r="M5" s="26">
        <v>90</v>
      </c>
    </row>
    <row r="6" spans="1:13" ht="15">
      <c r="A6" s="3" t="s">
        <v>6</v>
      </c>
      <c r="B6" s="3" t="s">
        <v>5</v>
      </c>
      <c r="C6" s="4">
        <v>45413</v>
      </c>
      <c r="D6" s="3">
        <v>220</v>
      </c>
      <c r="E6" s="2"/>
      <c r="F6" s="2"/>
      <c r="G6" s="2"/>
      <c r="H6" s="2"/>
      <c r="I6" s="2"/>
      <c r="J6" s="26" t="s">
        <v>6</v>
      </c>
      <c r="K6" s="26" t="s">
        <v>5</v>
      </c>
      <c r="L6" s="28">
        <v>45413</v>
      </c>
      <c r="M6" s="26">
        <v>220</v>
      </c>
    </row>
    <row r="7" spans="1:13" ht="15">
      <c r="A7" s="3" t="s">
        <v>4</v>
      </c>
      <c r="B7" s="3" t="s">
        <v>7</v>
      </c>
      <c r="C7" s="4">
        <v>45444</v>
      </c>
      <c r="D7" s="3">
        <v>130</v>
      </c>
      <c r="E7" s="2"/>
      <c r="F7" s="2"/>
      <c r="G7" s="2"/>
      <c r="H7" s="2"/>
      <c r="I7" s="2"/>
      <c r="J7" s="26" t="s">
        <v>4</v>
      </c>
      <c r="K7" s="26" t="s">
        <v>7</v>
      </c>
      <c r="L7" s="28">
        <v>45444</v>
      </c>
      <c r="M7" s="26">
        <v>130</v>
      </c>
    </row>
    <row r="8" spans="1:13" ht="15">
      <c r="A8" s="3" t="s">
        <v>9</v>
      </c>
      <c r="B8" s="3" t="s">
        <v>5</v>
      </c>
      <c r="C8" s="4">
        <v>45474</v>
      </c>
      <c r="D8" s="3">
        <v>300</v>
      </c>
      <c r="E8" s="2"/>
      <c r="F8" s="2"/>
      <c r="G8" s="2"/>
      <c r="H8" s="2"/>
      <c r="I8" s="2"/>
      <c r="J8" s="26" t="s">
        <v>9</v>
      </c>
      <c r="K8" s="26" t="s">
        <v>5</v>
      </c>
      <c r="L8" s="28">
        <v>45474</v>
      </c>
      <c r="M8" s="26">
        <v>300</v>
      </c>
    </row>
    <row r="9" spans="1:13" ht="15">
      <c r="A9" s="3" t="s">
        <v>6</v>
      </c>
      <c r="B9" s="3" t="s">
        <v>8</v>
      </c>
      <c r="C9" s="4">
        <v>45505</v>
      </c>
      <c r="D9" s="3">
        <v>80</v>
      </c>
      <c r="E9" s="2"/>
      <c r="F9" s="2"/>
      <c r="G9" s="2"/>
      <c r="H9" s="2"/>
      <c r="I9" s="2"/>
      <c r="J9" s="26" t="s">
        <v>6</v>
      </c>
      <c r="K9" s="26" t="s">
        <v>8</v>
      </c>
      <c r="L9" s="28">
        <v>45505</v>
      </c>
      <c r="M9" s="26">
        <v>80</v>
      </c>
    </row>
    <row r="10" spans="1:13" ht="15">
      <c r="A10" s="5"/>
      <c r="B10" s="5"/>
      <c r="C10" s="5"/>
      <c r="D10" s="5"/>
      <c r="E10" s="2"/>
      <c r="F10" s="2"/>
      <c r="G10" s="2"/>
      <c r="H10" s="2"/>
      <c r="I10" s="2"/>
    </row>
    <row r="11" spans="1:13" ht="15">
      <c r="A11" s="6"/>
      <c r="B11" s="2"/>
      <c r="C11" s="2"/>
      <c r="D11" s="2"/>
      <c r="E11" s="2"/>
      <c r="F11" s="2"/>
      <c r="G11" s="2"/>
      <c r="H11" s="2"/>
      <c r="I11" s="2"/>
    </row>
    <row r="12" spans="1:13" ht="15">
      <c r="A12" s="2"/>
      <c r="B12" s="2"/>
      <c r="C12" s="2"/>
      <c r="D12" s="2"/>
      <c r="E12" s="2"/>
      <c r="F12" s="2"/>
      <c r="G12" s="2"/>
      <c r="H12" s="2"/>
    </row>
    <row r="13" spans="1:13" ht="15">
      <c r="A13" s="29" t="s">
        <v>11</v>
      </c>
      <c r="B13" s="30"/>
      <c r="C13" s="30"/>
      <c r="D13" s="30"/>
      <c r="E13" s="30"/>
      <c r="F13" s="30"/>
      <c r="G13" s="30"/>
      <c r="H13" s="30"/>
      <c r="I13" s="30"/>
      <c r="J13" s="2"/>
    </row>
    <row r="14" spans="1:13" ht="15">
      <c r="A14" s="29" t="s">
        <v>12</v>
      </c>
      <c r="B14" s="30"/>
      <c r="C14" s="30"/>
      <c r="D14" s="30"/>
      <c r="E14" s="30"/>
      <c r="F14" s="30"/>
      <c r="G14" s="30"/>
      <c r="H14" s="30"/>
      <c r="I14" s="2"/>
      <c r="J14" s="2"/>
    </row>
    <row r="15" spans="1:13" ht="15">
      <c r="A15" s="29" t="s">
        <v>13</v>
      </c>
      <c r="B15" s="30"/>
      <c r="C15" s="30"/>
      <c r="D15" s="30"/>
      <c r="E15" s="30"/>
      <c r="F15" s="30"/>
      <c r="G15" s="30"/>
      <c r="H15" s="30"/>
      <c r="I15" s="2"/>
      <c r="J15" s="2"/>
    </row>
    <row r="16" spans="1:13" ht="15">
      <c r="A16" s="29" t="s">
        <v>14</v>
      </c>
      <c r="B16" s="30"/>
      <c r="C16" s="30"/>
      <c r="D16" s="30"/>
      <c r="E16" s="30"/>
      <c r="F16" s="30"/>
      <c r="G16" s="2"/>
      <c r="H16" s="2"/>
      <c r="I16" s="2"/>
      <c r="J16" s="2"/>
    </row>
    <row r="17" spans="1:10" ht="15">
      <c r="A17" s="29" t="s">
        <v>15</v>
      </c>
      <c r="B17" s="30"/>
      <c r="C17" s="30"/>
      <c r="D17" s="30"/>
      <c r="E17" s="30"/>
      <c r="F17" s="30"/>
      <c r="G17" s="2"/>
      <c r="H17" s="2"/>
      <c r="I17" s="2"/>
      <c r="J17" s="2"/>
    </row>
  </sheetData>
  <mergeCells count="5">
    <mergeCell ref="A13:I13"/>
    <mergeCell ref="A14:H14"/>
    <mergeCell ref="A15:H15"/>
    <mergeCell ref="A16:F16"/>
    <mergeCell ref="A17:F17"/>
  </mergeCells>
  <conditionalFormatting sqref="K18">
    <cfRule type="top10" dxfId="13" priority="12" rank="3"/>
  </conditionalFormatting>
  <conditionalFormatting sqref="M1:M4 M6:M9">
    <cfRule type="cellIs" dxfId="12" priority="6" operator="greaterThan">
      <formula>149</formula>
    </cfRule>
  </conditionalFormatting>
  <conditionalFormatting sqref="J2:M4 J6:M10">
    <cfRule type="expression" dxfId="11" priority="5">
      <formula>$A2="Product A"</formula>
    </cfRule>
    <cfRule type="expression" dxfId="10" priority="4">
      <formula>AND(C2&gt;=DATE(2024,1,1),C2&lt;=DATE(2024,1,31))</formula>
    </cfRule>
    <cfRule type="top10" dxfId="9" priority="3" rank="3"/>
  </conditionalFormatting>
  <conditionalFormatting sqref="J1:N4 J7:N9 J6:M6">
    <cfRule type="expression" dxfId="8" priority="2">
      <formula>AND($A2="Product B",$B2="North")</formula>
    </cfRule>
  </conditionalFormatting>
  <conditionalFormatting sqref="J2:N4 J7:N10 J6:M6">
    <cfRule type="expression" dxfId="7" priority="1">
      <formula>AND($A2="Product B",$B2="North")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41"/>
  <sheetViews>
    <sheetView zoomScale="121" workbookViewId="0"/>
  </sheetViews>
  <sheetFormatPr defaultColWidth="12.5703125" defaultRowHeight="15.75" customHeight="1"/>
  <cols>
    <col min="1" max="1" width="16.28515625" customWidth="1"/>
    <col min="2" max="2" width="22.5703125" customWidth="1"/>
    <col min="9" max="9" width="16.85546875" customWidth="1"/>
  </cols>
  <sheetData>
    <row r="1" spans="1:9" ht="15.75" customHeight="1">
      <c r="A1" s="7" t="s">
        <v>16</v>
      </c>
      <c r="B1" s="7" t="s">
        <v>2</v>
      </c>
      <c r="C1" s="7" t="s">
        <v>1</v>
      </c>
      <c r="D1" s="7" t="s">
        <v>17</v>
      </c>
      <c r="E1" s="7" t="s">
        <v>0</v>
      </c>
      <c r="F1" s="7" t="s">
        <v>18</v>
      </c>
      <c r="G1" s="7" t="s">
        <v>19</v>
      </c>
      <c r="H1" s="7" t="s">
        <v>20</v>
      </c>
      <c r="I1" s="7" t="s">
        <v>21</v>
      </c>
    </row>
    <row r="2" spans="1:9" ht="15.75" customHeight="1">
      <c r="A2" s="8" t="s">
        <v>22</v>
      </c>
      <c r="B2" s="9">
        <v>46147.428668981483</v>
      </c>
      <c r="C2" s="8" t="s">
        <v>8</v>
      </c>
      <c r="D2" s="8" t="s">
        <v>23</v>
      </c>
      <c r="E2" s="8" t="s">
        <v>24</v>
      </c>
      <c r="F2" s="8">
        <v>5</v>
      </c>
      <c r="G2" s="8">
        <v>8000</v>
      </c>
      <c r="H2" s="8">
        <v>40000</v>
      </c>
      <c r="I2" s="8" t="s">
        <v>25</v>
      </c>
    </row>
    <row r="3" spans="1:9" ht="15.75" customHeight="1">
      <c r="A3" s="8" t="s">
        <v>26</v>
      </c>
      <c r="B3" s="9">
        <v>46102.428668981483</v>
      </c>
      <c r="C3" s="8" t="s">
        <v>8</v>
      </c>
      <c r="D3" s="8" t="s">
        <v>27</v>
      </c>
      <c r="E3" s="8" t="s">
        <v>28</v>
      </c>
      <c r="F3" s="8">
        <v>5</v>
      </c>
      <c r="G3" s="8">
        <v>75000</v>
      </c>
      <c r="H3" s="8">
        <v>375000</v>
      </c>
      <c r="I3" s="8" t="s">
        <v>29</v>
      </c>
    </row>
    <row r="4" spans="1:9" ht="15.75" customHeight="1">
      <c r="A4" s="8" t="s">
        <v>30</v>
      </c>
      <c r="B4" s="9">
        <v>46147.428668981483</v>
      </c>
      <c r="C4" s="8" t="s">
        <v>8</v>
      </c>
      <c r="D4" s="8" t="s">
        <v>31</v>
      </c>
      <c r="E4" s="8" t="s">
        <v>32</v>
      </c>
      <c r="F4" s="8">
        <v>3</v>
      </c>
      <c r="G4" s="8">
        <v>8000</v>
      </c>
      <c r="H4" s="8">
        <v>24000</v>
      </c>
      <c r="I4" s="6"/>
    </row>
    <row r="5" spans="1:9" ht="15.75" customHeight="1">
      <c r="A5" s="8" t="s">
        <v>33</v>
      </c>
      <c r="B5" s="9">
        <v>46103.428668981483</v>
      </c>
      <c r="C5" s="8" t="s">
        <v>5</v>
      </c>
      <c r="D5" s="8" t="s">
        <v>23</v>
      </c>
      <c r="E5" s="8" t="s">
        <v>34</v>
      </c>
      <c r="F5" s="8">
        <v>8</v>
      </c>
      <c r="G5" s="8">
        <v>25000</v>
      </c>
      <c r="H5" s="8">
        <v>200000</v>
      </c>
      <c r="I5" s="6"/>
    </row>
    <row r="6" spans="1:9" ht="15.75" customHeight="1">
      <c r="A6" s="8" t="s">
        <v>35</v>
      </c>
      <c r="B6" s="9">
        <v>46134.428668981483</v>
      </c>
      <c r="C6" s="8" t="s">
        <v>7</v>
      </c>
      <c r="D6" s="8" t="s">
        <v>23</v>
      </c>
      <c r="E6" s="8" t="s">
        <v>34</v>
      </c>
      <c r="F6" s="8">
        <v>6</v>
      </c>
      <c r="G6" s="8">
        <v>75000</v>
      </c>
      <c r="H6" s="8">
        <v>450000</v>
      </c>
      <c r="I6" s="8" t="s">
        <v>25</v>
      </c>
    </row>
    <row r="7" spans="1:9" ht="15.75" customHeight="1">
      <c r="A7" s="8" t="s">
        <v>36</v>
      </c>
      <c r="B7" s="9">
        <v>46109.428668981483</v>
      </c>
      <c r="C7" s="8" t="s">
        <v>7</v>
      </c>
      <c r="D7" s="8" t="s">
        <v>27</v>
      </c>
      <c r="E7" s="8" t="s">
        <v>37</v>
      </c>
      <c r="F7" s="8">
        <v>10</v>
      </c>
      <c r="G7" s="8">
        <v>25000</v>
      </c>
      <c r="H7" s="8">
        <v>250000</v>
      </c>
      <c r="I7" s="8" t="s">
        <v>38</v>
      </c>
    </row>
    <row r="8" spans="1:9" ht="15.75" customHeight="1">
      <c r="A8" s="8" t="s">
        <v>39</v>
      </c>
      <c r="B8" s="9">
        <v>46122.428668981483</v>
      </c>
      <c r="C8" s="8" t="s">
        <v>8</v>
      </c>
      <c r="D8" s="8" t="s">
        <v>27</v>
      </c>
      <c r="E8" s="8" t="s">
        <v>28</v>
      </c>
      <c r="F8" s="8">
        <v>2</v>
      </c>
      <c r="G8" s="8">
        <v>12000</v>
      </c>
      <c r="H8" s="8">
        <v>24000</v>
      </c>
      <c r="I8" s="8" t="s">
        <v>25</v>
      </c>
    </row>
    <row r="9" spans="1:9" ht="15.75" customHeight="1">
      <c r="A9" s="8" t="s">
        <v>39</v>
      </c>
      <c r="B9" s="9">
        <v>46095.428668981483</v>
      </c>
      <c r="C9" s="8" t="s">
        <v>7</v>
      </c>
      <c r="D9" s="8" t="s">
        <v>31</v>
      </c>
      <c r="E9" s="8" t="s">
        <v>40</v>
      </c>
      <c r="F9" s="8">
        <v>5</v>
      </c>
      <c r="G9" s="8">
        <v>8000</v>
      </c>
      <c r="H9" s="8">
        <v>40000</v>
      </c>
      <c r="I9" s="8" t="s">
        <v>38</v>
      </c>
    </row>
    <row r="10" spans="1:9" ht="15.75" customHeight="1">
      <c r="A10" s="8" t="s">
        <v>41</v>
      </c>
      <c r="B10" s="9">
        <v>46106.428668981483</v>
      </c>
      <c r="C10" s="8" t="s">
        <v>10</v>
      </c>
      <c r="D10" s="8" t="s">
        <v>27</v>
      </c>
      <c r="E10" s="8" t="s">
        <v>40</v>
      </c>
      <c r="F10" s="8">
        <v>10</v>
      </c>
      <c r="G10" s="8">
        <v>25000</v>
      </c>
      <c r="H10" s="8">
        <v>250000</v>
      </c>
      <c r="I10" s="8" t="s">
        <v>42</v>
      </c>
    </row>
    <row r="11" spans="1:9" ht="15.75" customHeight="1">
      <c r="A11" s="8" t="s">
        <v>43</v>
      </c>
      <c r="B11" s="9">
        <v>46118.428668981483</v>
      </c>
      <c r="C11" s="8" t="s">
        <v>7</v>
      </c>
      <c r="D11" s="8" t="s">
        <v>31</v>
      </c>
      <c r="E11" s="8" t="s">
        <v>37</v>
      </c>
      <c r="F11" s="8">
        <v>1</v>
      </c>
      <c r="G11" s="8">
        <v>12000</v>
      </c>
      <c r="H11" s="8">
        <v>12000</v>
      </c>
      <c r="I11" s="8" t="s">
        <v>42</v>
      </c>
    </row>
    <row r="12" spans="1:9" ht="15.75" customHeight="1">
      <c r="A12" s="8" t="s">
        <v>44</v>
      </c>
      <c r="B12" s="9">
        <v>46146.428668981483</v>
      </c>
      <c r="C12" s="8" t="s">
        <v>7</v>
      </c>
      <c r="D12" s="8" t="s">
        <v>23</v>
      </c>
      <c r="E12" s="8" t="s">
        <v>28</v>
      </c>
      <c r="F12" s="8">
        <v>5</v>
      </c>
      <c r="G12" s="8">
        <v>8000</v>
      </c>
      <c r="H12" s="8">
        <v>40000</v>
      </c>
      <c r="I12" s="8" t="s">
        <v>25</v>
      </c>
    </row>
    <row r="13" spans="1:9" ht="15">
      <c r="A13" s="8" t="s">
        <v>45</v>
      </c>
      <c r="B13" s="9">
        <v>46119.428668981483</v>
      </c>
      <c r="C13" s="8" t="s">
        <v>10</v>
      </c>
      <c r="D13" s="8" t="s">
        <v>31</v>
      </c>
      <c r="E13" s="8" t="s">
        <v>37</v>
      </c>
      <c r="F13" s="8">
        <v>3</v>
      </c>
      <c r="G13" s="8">
        <v>75000</v>
      </c>
      <c r="H13" s="8">
        <v>225000</v>
      </c>
      <c r="I13" s="8" t="s">
        <v>46</v>
      </c>
    </row>
    <row r="14" spans="1:9" ht="15">
      <c r="A14" s="8" t="s">
        <v>47</v>
      </c>
      <c r="B14" s="9">
        <v>46107.428668981483</v>
      </c>
      <c r="C14" s="8" t="s">
        <v>10</v>
      </c>
      <c r="D14" s="8" t="s">
        <v>31</v>
      </c>
      <c r="E14" s="8" t="s">
        <v>24</v>
      </c>
      <c r="F14" s="8">
        <v>9</v>
      </c>
      <c r="G14" s="8">
        <v>25000</v>
      </c>
      <c r="H14" s="8">
        <v>225000</v>
      </c>
      <c r="I14" s="8" t="s">
        <v>29</v>
      </c>
    </row>
    <row r="15" spans="1:9" ht="15">
      <c r="A15" s="8" t="s">
        <v>48</v>
      </c>
      <c r="B15" s="9">
        <v>46153.428668981483</v>
      </c>
      <c r="C15" s="8" t="s">
        <v>5</v>
      </c>
      <c r="D15" s="8" t="s">
        <v>31</v>
      </c>
      <c r="E15" s="8" t="s">
        <v>40</v>
      </c>
      <c r="F15" s="8">
        <v>6</v>
      </c>
      <c r="G15" s="8">
        <v>25000</v>
      </c>
      <c r="H15" s="8">
        <v>150000</v>
      </c>
      <c r="I15" s="6"/>
    </row>
    <row r="16" spans="1:9" ht="15">
      <c r="A16" s="8" t="s">
        <v>49</v>
      </c>
      <c r="B16" s="9">
        <v>46108.428668981483</v>
      </c>
      <c r="C16" s="8" t="s">
        <v>5</v>
      </c>
      <c r="D16" s="8" t="s">
        <v>31</v>
      </c>
      <c r="E16" s="8" t="s">
        <v>40</v>
      </c>
      <c r="F16" s="8">
        <v>1</v>
      </c>
      <c r="G16" s="8">
        <v>8000</v>
      </c>
      <c r="H16" s="8">
        <v>8000</v>
      </c>
      <c r="I16" s="8" t="s">
        <v>25</v>
      </c>
    </row>
    <row r="17" spans="1:9" ht="15">
      <c r="A17" s="8" t="s">
        <v>49</v>
      </c>
      <c r="B17" s="9">
        <v>46120.428668981483</v>
      </c>
      <c r="C17" s="8" t="s">
        <v>10</v>
      </c>
      <c r="D17" s="8" t="s">
        <v>31</v>
      </c>
      <c r="E17" s="8" t="s">
        <v>24</v>
      </c>
      <c r="F17" s="8">
        <v>8</v>
      </c>
      <c r="G17" s="8">
        <v>60000</v>
      </c>
      <c r="H17" s="8">
        <v>480000</v>
      </c>
      <c r="I17" s="8" t="s">
        <v>29</v>
      </c>
    </row>
    <row r="18" spans="1:9" ht="15">
      <c r="A18" s="8" t="s">
        <v>50</v>
      </c>
      <c r="B18" s="9">
        <v>46133.428668981483</v>
      </c>
      <c r="C18" s="8" t="s">
        <v>5</v>
      </c>
      <c r="D18" s="8" t="s">
        <v>27</v>
      </c>
      <c r="E18" s="8" t="s">
        <v>40</v>
      </c>
      <c r="F18" s="8">
        <v>2</v>
      </c>
      <c r="G18" s="8">
        <v>60000</v>
      </c>
      <c r="H18" s="8">
        <v>120000</v>
      </c>
      <c r="I18" s="6"/>
    </row>
    <row r="19" spans="1:9" ht="15">
      <c r="A19" s="8" t="s">
        <v>51</v>
      </c>
      <c r="B19" s="9">
        <v>46095.428668981483</v>
      </c>
      <c r="C19" s="8" t="s">
        <v>7</v>
      </c>
      <c r="D19" s="8" t="s">
        <v>31</v>
      </c>
      <c r="E19" s="8" t="s">
        <v>40</v>
      </c>
      <c r="F19" s="8">
        <v>4</v>
      </c>
      <c r="G19" s="8">
        <v>8000</v>
      </c>
      <c r="H19" s="8">
        <v>32000</v>
      </c>
      <c r="I19" s="6"/>
    </row>
    <row r="20" spans="1:9" ht="15">
      <c r="A20" s="8" t="s">
        <v>52</v>
      </c>
      <c r="B20" s="9">
        <v>46145.428668981483</v>
      </c>
      <c r="C20" s="8" t="s">
        <v>8</v>
      </c>
      <c r="D20" s="8" t="s">
        <v>27</v>
      </c>
      <c r="E20" s="8" t="s">
        <v>40</v>
      </c>
      <c r="F20" s="8">
        <v>4</v>
      </c>
      <c r="G20" s="8">
        <v>60000</v>
      </c>
      <c r="H20" s="8">
        <v>240000</v>
      </c>
      <c r="I20" s="8" t="s">
        <v>42</v>
      </c>
    </row>
    <row r="21" spans="1:9" ht="15">
      <c r="A21" s="8" t="s">
        <v>53</v>
      </c>
      <c r="B21" s="9">
        <v>46108.428668981483</v>
      </c>
      <c r="C21" s="8" t="s">
        <v>7</v>
      </c>
      <c r="D21" s="8" t="s">
        <v>23</v>
      </c>
      <c r="E21" s="8" t="s">
        <v>24</v>
      </c>
      <c r="F21" s="8">
        <v>4</v>
      </c>
      <c r="G21" s="8">
        <v>60000</v>
      </c>
      <c r="H21" s="8">
        <v>240000</v>
      </c>
      <c r="I21" s="8" t="s">
        <v>42</v>
      </c>
    </row>
    <row r="22" spans="1:9" ht="15">
      <c r="A22" s="8" t="s">
        <v>54</v>
      </c>
      <c r="B22" s="9">
        <v>46129.428668981483</v>
      </c>
      <c r="C22" s="8" t="s">
        <v>10</v>
      </c>
      <c r="D22" s="8" t="s">
        <v>31</v>
      </c>
      <c r="E22" s="8" t="s">
        <v>32</v>
      </c>
      <c r="F22" s="8">
        <v>8</v>
      </c>
      <c r="G22" s="8">
        <v>8000</v>
      </c>
      <c r="H22" s="8">
        <v>64000</v>
      </c>
      <c r="I22" s="8" t="s">
        <v>25</v>
      </c>
    </row>
    <row r="23" spans="1:9" ht="15">
      <c r="A23" s="8" t="s">
        <v>55</v>
      </c>
      <c r="B23" s="9">
        <v>46119.428668981483</v>
      </c>
      <c r="C23" s="8" t="s">
        <v>5</v>
      </c>
      <c r="D23" s="8" t="s">
        <v>31</v>
      </c>
      <c r="E23" s="8" t="s">
        <v>24</v>
      </c>
      <c r="F23" s="8">
        <v>9</v>
      </c>
      <c r="G23" s="8">
        <v>12000</v>
      </c>
      <c r="H23" s="8">
        <v>108000</v>
      </c>
      <c r="I23" s="8" t="s">
        <v>42</v>
      </c>
    </row>
    <row r="24" spans="1:9" ht="15">
      <c r="A24" s="8" t="s">
        <v>56</v>
      </c>
      <c r="B24" s="9">
        <v>46119.428668981483</v>
      </c>
      <c r="C24" s="8" t="s">
        <v>8</v>
      </c>
      <c r="D24" s="8" t="s">
        <v>31</v>
      </c>
      <c r="E24" s="8" t="s">
        <v>32</v>
      </c>
      <c r="F24" s="8">
        <v>4</v>
      </c>
      <c r="G24" s="8">
        <v>75000</v>
      </c>
      <c r="H24" s="8">
        <v>300000</v>
      </c>
      <c r="I24" s="8" t="s">
        <v>42</v>
      </c>
    </row>
    <row r="25" spans="1:9" ht="15">
      <c r="A25" s="8" t="s">
        <v>56</v>
      </c>
      <c r="B25" s="9">
        <v>46130.428668981483</v>
      </c>
      <c r="C25" s="8" t="s">
        <v>7</v>
      </c>
      <c r="D25" s="8" t="s">
        <v>23</v>
      </c>
      <c r="E25" s="8" t="s">
        <v>32</v>
      </c>
      <c r="F25" s="8">
        <v>8</v>
      </c>
      <c r="G25" s="8">
        <v>75000</v>
      </c>
      <c r="H25" s="8">
        <v>600000</v>
      </c>
      <c r="I25" s="8" t="s">
        <v>38</v>
      </c>
    </row>
    <row r="26" spans="1:9" ht="15">
      <c r="A26" s="8" t="s">
        <v>57</v>
      </c>
      <c r="B26" s="9">
        <v>46126.428668981483</v>
      </c>
      <c r="C26" s="8" t="s">
        <v>7</v>
      </c>
      <c r="D26" s="8" t="s">
        <v>23</v>
      </c>
      <c r="E26" s="8" t="s">
        <v>40</v>
      </c>
      <c r="F26" s="8">
        <v>5</v>
      </c>
      <c r="G26" s="8">
        <v>8000</v>
      </c>
      <c r="H26" s="8">
        <v>40000</v>
      </c>
      <c r="I26" s="8" t="s">
        <v>29</v>
      </c>
    </row>
    <row r="27" spans="1:9" ht="15">
      <c r="A27" s="8" t="s">
        <v>58</v>
      </c>
      <c r="B27" s="9">
        <v>46142.428668981483</v>
      </c>
      <c r="C27" s="8" t="s">
        <v>5</v>
      </c>
      <c r="D27" s="8" t="s">
        <v>23</v>
      </c>
      <c r="E27" s="8" t="s">
        <v>37</v>
      </c>
      <c r="F27" s="8">
        <v>2</v>
      </c>
      <c r="G27" s="8">
        <v>12000</v>
      </c>
      <c r="H27" s="8">
        <v>24000</v>
      </c>
      <c r="I27" s="8" t="s">
        <v>46</v>
      </c>
    </row>
    <row r="28" spans="1:9" ht="15">
      <c r="A28" s="8" t="s">
        <v>59</v>
      </c>
      <c r="B28" s="9">
        <v>46113.428668981483</v>
      </c>
      <c r="C28" s="8" t="s">
        <v>8</v>
      </c>
      <c r="D28" s="8" t="s">
        <v>27</v>
      </c>
      <c r="E28" s="8" t="s">
        <v>32</v>
      </c>
      <c r="F28" s="8">
        <v>4</v>
      </c>
      <c r="G28" s="8">
        <v>12000</v>
      </c>
      <c r="H28" s="8">
        <v>48000</v>
      </c>
      <c r="I28" s="6"/>
    </row>
    <row r="29" spans="1:9" ht="15">
      <c r="A29" s="8" t="s">
        <v>60</v>
      </c>
      <c r="B29" s="9">
        <v>46106.428668981483</v>
      </c>
      <c r="C29" s="8" t="s">
        <v>8</v>
      </c>
      <c r="D29" s="8" t="s">
        <v>27</v>
      </c>
      <c r="E29" s="8" t="s">
        <v>32</v>
      </c>
      <c r="F29" s="8">
        <v>7</v>
      </c>
      <c r="G29" s="8">
        <v>60000</v>
      </c>
      <c r="H29" s="8">
        <v>420000</v>
      </c>
      <c r="I29" s="6"/>
    </row>
    <row r="30" spans="1:9" ht="15">
      <c r="A30" s="8" t="s">
        <v>61</v>
      </c>
      <c r="B30" s="9">
        <v>46142.428668981483</v>
      </c>
      <c r="C30" s="8" t="s">
        <v>5</v>
      </c>
      <c r="D30" s="8" t="s">
        <v>31</v>
      </c>
      <c r="E30" s="8" t="s">
        <v>24</v>
      </c>
      <c r="F30" s="8">
        <v>3</v>
      </c>
      <c r="G30" s="8">
        <v>8000</v>
      </c>
      <c r="H30" s="8">
        <v>24000</v>
      </c>
      <c r="I30" s="8" t="s">
        <v>38</v>
      </c>
    </row>
    <row r="31" spans="1:9" ht="15">
      <c r="A31" s="8" t="s">
        <v>62</v>
      </c>
      <c r="B31" s="9">
        <v>46107.428668981483</v>
      </c>
      <c r="C31" s="8" t="s">
        <v>5</v>
      </c>
      <c r="D31" s="8" t="s">
        <v>31</v>
      </c>
      <c r="E31" s="8" t="s">
        <v>40</v>
      </c>
      <c r="F31" s="8">
        <v>2</v>
      </c>
      <c r="G31" s="8">
        <v>25000</v>
      </c>
      <c r="H31" s="8">
        <v>50000</v>
      </c>
      <c r="I31" s="8" t="s">
        <v>42</v>
      </c>
    </row>
    <row r="32" spans="1:9" ht="15">
      <c r="A32" s="8" t="s">
        <v>63</v>
      </c>
      <c r="B32" s="9">
        <v>46141.428668981483</v>
      </c>
      <c r="C32" s="8" t="s">
        <v>8</v>
      </c>
      <c r="D32" s="8" t="s">
        <v>27</v>
      </c>
      <c r="E32" s="8" t="s">
        <v>40</v>
      </c>
      <c r="F32" s="8">
        <v>4</v>
      </c>
      <c r="G32" s="8">
        <v>12000</v>
      </c>
      <c r="H32" s="8">
        <v>48000</v>
      </c>
      <c r="I32" s="8" t="s">
        <v>46</v>
      </c>
    </row>
    <row r="33" spans="1:9" ht="15">
      <c r="A33" s="8" t="s">
        <v>63</v>
      </c>
      <c r="B33" s="9">
        <v>46129.428668981483</v>
      </c>
      <c r="C33" s="8" t="s">
        <v>8</v>
      </c>
      <c r="D33" s="8" t="s">
        <v>31</v>
      </c>
      <c r="E33" s="8" t="s">
        <v>40</v>
      </c>
      <c r="F33" s="8">
        <v>7</v>
      </c>
      <c r="G33" s="8">
        <v>75000</v>
      </c>
      <c r="H33" s="8">
        <v>525000</v>
      </c>
      <c r="I33" s="8" t="s">
        <v>46</v>
      </c>
    </row>
    <row r="34" spans="1:9" ht="15">
      <c r="A34" s="8" t="s">
        <v>64</v>
      </c>
      <c r="B34" s="9">
        <v>46117.428668981483</v>
      </c>
      <c r="C34" s="8" t="s">
        <v>8</v>
      </c>
      <c r="D34" s="8" t="s">
        <v>31</v>
      </c>
      <c r="E34" s="8" t="s">
        <v>40</v>
      </c>
      <c r="F34" s="8">
        <v>7</v>
      </c>
      <c r="G34" s="8">
        <v>60000</v>
      </c>
      <c r="H34" s="8">
        <v>420000</v>
      </c>
      <c r="I34" s="8" t="s">
        <v>46</v>
      </c>
    </row>
    <row r="35" spans="1:9" ht="15">
      <c r="A35" s="8" t="s">
        <v>65</v>
      </c>
      <c r="B35" s="9">
        <v>46099.428668981483</v>
      </c>
      <c r="C35" s="8" t="s">
        <v>10</v>
      </c>
      <c r="D35" s="8" t="s">
        <v>23</v>
      </c>
      <c r="E35" s="8" t="s">
        <v>40</v>
      </c>
      <c r="F35" s="8">
        <v>5</v>
      </c>
      <c r="G35" s="8">
        <v>60000</v>
      </c>
      <c r="H35" s="8">
        <v>300000</v>
      </c>
      <c r="I35" s="6"/>
    </row>
    <row r="36" spans="1:9" ht="15">
      <c r="A36" s="8" t="s">
        <v>66</v>
      </c>
      <c r="B36" s="9">
        <v>46110.428668981483</v>
      </c>
      <c r="C36" s="8" t="s">
        <v>5</v>
      </c>
      <c r="D36" s="8" t="s">
        <v>27</v>
      </c>
      <c r="E36" s="8" t="s">
        <v>28</v>
      </c>
      <c r="F36" s="8">
        <v>8</v>
      </c>
      <c r="G36" s="8">
        <v>75000</v>
      </c>
      <c r="H36" s="8">
        <v>600000</v>
      </c>
      <c r="I36" s="8" t="s">
        <v>38</v>
      </c>
    </row>
    <row r="37" spans="1:9" ht="15">
      <c r="A37" s="8" t="s">
        <v>67</v>
      </c>
      <c r="B37" s="9">
        <v>46125.428668981483</v>
      </c>
      <c r="C37" s="8" t="s">
        <v>8</v>
      </c>
      <c r="D37" s="8" t="s">
        <v>31</v>
      </c>
      <c r="E37" s="8" t="s">
        <v>37</v>
      </c>
      <c r="F37" s="8">
        <v>1</v>
      </c>
      <c r="G37" s="8">
        <v>75000</v>
      </c>
      <c r="H37" s="8">
        <v>75000</v>
      </c>
      <c r="I37" s="8" t="s">
        <v>29</v>
      </c>
    </row>
    <row r="38" spans="1:9" ht="15">
      <c r="A38" s="8" t="s">
        <v>68</v>
      </c>
      <c r="B38" s="9">
        <v>46110.428668981483</v>
      </c>
      <c r="C38" s="8" t="s">
        <v>5</v>
      </c>
      <c r="D38" s="8" t="s">
        <v>27</v>
      </c>
      <c r="E38" s="8" t="s">
        <v>32</v>
      </c>
      <c r="F38" s="8">
        <v>10</v>
      </c>
      <c r="G38" s="8">
        <v>8000</v>
      </c>
      <c r="H38" s="8">
        <v>80000</v>
      </c>
      <c r="I38" s="8" t="s">
        <v>38</v>
      </c>
    </row>
    <row r="39" spans="1:9" ht="15">
      <c r="A39" s="8" t="s">
        <v>69</v>
      </c>
      <c r="B39" s="9">
        <v>46122.428668981483</v>
      </c>
      <c r="C39" s="8" t="s">
        <v>7</v>
      </c>
      <c r="D39" s="8" t="s">
        <v>27</v>
      </c>
      <c r="E39" s="8" t="s">
        <v>37</v>
      </c>
      <c r="F39" s="8">
        <v>3</v>
      </c>
      <c r="G39" s="8">
        <v>75000</v>
      </c>
      <c r="H39" s="8">
        <v>225000</v>
      </c>
      <c r="I39" s="8" t="s">
        <v>46</v>
      </c>
    </row>
    <row r="40" spans="1:9" ht="15">
      <c r="A40" s="8" t="s">
        <v>70</v>
      </c>
      <c r="B40" s="9">
        <v>46105.428668981483</v>
      </c>
      <c r="C40" s="8" t="s">
        <v>7</v>
      </c>
      <c r="D40" s="8" t="s">
        <v>27</v>
      </c>
      <c r="E40" s="8" t="s">
        <v>32</v>
      </c>
      <c r="F40" s="8">
        <v>5</v>
      </c>
      <c r="G40" s="8">
        <v>75000</v>
      </c>
      <c r="H40" s="8">
        <v>375000</v>
      </c>
      <c r="I40" s="8" t="s">
        <v>29</v>
      </c>
    </row>
    <row r="41" spans="1:9" ht="15">
      <c r="A41" s="8" t="s">
        <v>70</v>
      </c>
      <c r="B41" s="9">
        <v>46097.428668981483</v>
      </c>
      <c r="C41" s="8" t="s">
        <v>8</v>
      </c>
      <c r="D41" s="8" t="s">
        <v>23</v>
      </c>
      <c r="E41" s="8" t="s">
        <v>24</v>
      </c>
      <c r="F41" s="8">
        <v>3</v>
      </c>
      <c r="G41" s="8">
        <v>8000</v>
      </c>
      <c r="H41" s="8">
        <v>24000</v>
      </c>
      <c r="I41" s="8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4"/>
  <sheetViews>
    <sheetView topLeftCell="A17" zoomScale="138" workbookViewId="0">
      <selection activeCell="E34" sqref="E34"/>
    </sheetView>
  </sheetViews>
  <sheetFormatPr defaultColWidth="12.5703125" defaultRowHeight="15.75" customHeight="1"/>
  <cols>
    <col min="3" max="3" width="24.85546875" customWidth="1"/>
    <col min="4" max="4" width="18.42578125" customWidth="1"/>
    <col min="5" max="5" width="28.5703125" customWidth="1"/>
  </cols>
  <sheetData>
    <row r="1" spans="1:7" ht="15.75" customHeight="1">
      <c r="A1" s="10" t="s">
        <v>71</v>
      </c>
      <c r="B1" s="11" t="s">
        <v>72</v>
      </c>
      <c r="C1" s="12" t="s">
        <v>73</v>
      </c>
      <c r="D1" s="13" t="s">
        <v>74</v>
      </c>
      <c r="E1" s="13" t="s">
        <v>75</v>
      </c>
      <c r="F1" s="13" t="s">
        <v>76</v>
      </c>
      <c r="G1" s="13" t="s">
        <v>77</v>
      </c>
    </row>
    <row r="2" spans="1:7" ht="15">
      <c r="A2" s="14">
        <v>1</v>
      </c>
      <c r="B2" s="15" t="s">
        <v>78</v>
      </c>
      <c r="C2" s="16" t="s">
        <v>79</v>
      </c>
      <c r="D2" s="17" t="s">
        <v>80</v>
      </c>
      <c r="E2" s="17">
        <v>34</v>
      </c>
      <c r="F2" s="17">
        <v>170</v>
      </c>
      <c r="G2" s="17">
        <v>80</v>
      </c>
    </row>
    <row r="3" spans="1:7" ht="15">
      <c r="A3" s="14">
        <v>2</v>
      </c>
      <c r="B3" s="15" t="s">
        <v>81</v>
      </c>
      <c r="C3" s="16" t="s">
        <v>82</v>
      </c>
      <c r="D3" s="17" t="s">
        <v>80</v>
      </c>
      <c r="E3" s="17">
        <v>23</v>
      </c>
      <c r="F3" s="17">
        <v>171</v>
      </c>
      <c r="G3" s="17">
        <v>62</v>
      </c>
    </row>
    <row r="4" spans="1:7" ht="15">
      <c r="A4" s="14">
        <v>3</v>
      </c>
      <c r="B4" s="15" t="s">
        <v>83</v>
      </c>
      <c r="C4" s="16" t="s">
        <v>84</v>
      </c>
      <c r="D4" s="17" t="s">
        <v>85</v>
      </c>
      <c r="E4" s="17">
        <v>25</v>
      </c>
      <c r="F4" s="17">
        <v>174</v>
      </c>
      <c r="G4" s="17">
        <v>74</v>
      </c>
    </row>
    <row r="5" spans="1:7" ht="15">
      <c r="A5" s="14">
        <v>4</v>
      </c>
      <c r="B5" s="15" t="s">
        <v>86</v>
      </c>
      <c r="C5" s="16" t="s">
        <v>87</v>
      </c>
      <c r="D5" s="17" t="s">
        <v>85</v>
      </c>
      <c r="E5" s="17">
        <v>21</v>
      </c>
      <c r="F5" s="17">
        <v>173</v>
      </c>
      <c r="G5" s="17">
        <v>73</v>
      </c>
    </row>
    <row r="6" spans="1:7" ht="15">
      <c r="A6" s="14">
        <v>5</v>
      </c>
      <c r="B6" s="15" t="s">
        <v>88</v>
      </c>
      <c r="C6" s="16" t="s">
        <v>89</v>
      </c>
      <c r="D6" s="17" t="s">
        <v>85</v>
      </c>
      <c r="E6" s="17">
        <v>20</v>
      </c>
      <c r="F6" s="17">
        <v>178</v>
      </c>
      <c r="G6" s="17">
        <v>78</v>
      </c>
    </row>
    <row r="7" spans="1:7" ht="15">
      <c r="A7" s="14">
        <v>6</v>
      </c>
      <c r="B7" s="15" t="s">
        <v>90</v>
      </c>
      <c r="C7" s="16" t="s">
        <v>91</v>
      </c>
      <c r="D7" s="17" t="s">
        <v>80</v>
      </c>
      <c r="E7" s="18"/>
      <c r="F7" s="17">
        <v>170</v>
      </c>
      <c r="G7" s="17">
        <v>78</v>
      </c>
    </row>
    <row r="8" spans="1:7" ht="15">
      <c r="A8" s="14">
        <v>7</v>
      </c>
      <c r="B8" s="15" t="s">
        <v>92</v>
      </c>
      <c r="C8" s="16" t="s">
        <v>93</v>
      </c>
      <c r="D8" s="17" t="s">
        <v>85</v>
      </c>
      <c r="E8" s="18"/>
      <c r="F8" s="17">
        <v>171</v>
      </c>
      <c r="G8" s="17">
        <v>71</v>
      </c>
    </row>
    <row r="9" spans="1:7" ht="15">
      <c r="A9" s="14">
        <v>8</v>
      </c>
      <c r="B9" s="15" t="s">
        <v>94</v>
      </c>
      <c r="C9" s="16" t="s">
        <v>95</v>
      </c>
      <c r="D9" s="17" t="s">
        <v>85</v>
      </c>
      <c r="E9" s="17">
        <v>22</v>
      </c>
      <c r="F9" s="17">
        <v>174</v>
      </c>
      <c r="G9" s="17">
        <v>73</v>
      </c>
    </row>
    <row r="10" spans="1:7" ht="15">
      <c r="A10" s="14">
        <v>9</v>
      </c>
      <c r="B10" s="15" t="s">
        <v>96</v>
      </c>
      <c r="C10" s="16" t="s">
        <v>97</v>
      </c>
      <c r="D10" s="17" t="s">
        <v>80</v>
      </c>
      <c r="E10" s="17">
        <v>10</v>
      </c>
      <c r="F10" s="17">
        <v>173</v>
      </c>
      <c r="G10" s="17">
        <v>74</v>
      </c>
    </row>
    <row r="11" spans="1:7" ht="15">
      <c r="A11" s="19">
        <v>10</v>
      </c>
      <c r="B11" s="20" t="s">
        <v>98</v>
      </c>
      <c r="C11" s="21" t="s">
        <v>99</v>
      </c>
      <c r="D11" s="17" t="s">
        <v>85</v>
      </c>
      <c r="E11" s="17">
        <v>27</v>
      </c>
      <c r="F11" s="17">
        <v>178</v>
      </c>
      <c r="G11" s="17">
        <v>75</v>
      </c>
    </row>
    <row r="13" spans="1:7" ht="15.75" customHeight="1">
      <c r="D13" s="22" t="s">
        <v>121</v>
      </c>
      <c r="E13">
        <f>SUM(E2:E11)</f>
        <v>182</v>
      </c>
      <c r="F13">
        <f>SUM(F6:F11)</f>
        <v>1044</v>
      </c>
      <c r="G13" s="23">
        <v>34</v>
      </c>
    </row>
    <row r="14" spans="1:7" ht="15.75" customHeight="1">
      <c r="D14" s="22" t="s">
        <v>100</v>
      </c>
      <c r="E14">
        <f>SUMIF(E2:E11,"&gt;20")</f>
        <v>152</v>
      </c>
    </row>
    <row r="15" spans="1:7" ht="15.75" customHeight="1">
      <c r="D15" s="22" t="s">
        <v>101</v>
      </c>
      <c r="E15">
        <f>MIN(E2:F11)</f>
        <v>10</v>
      </c>
    </row>
    <row r="16" spans="1:7" ht="15.75" customHeight="1">
      <c r="D16" s="22" t="s">
        <v>102</v>
      </c>
      <c r="E16">
        <f>MAX(E2:E11)</f>
        <v>34</v>
      </c>
    </row>
    <row r="17" spans="4:7" ht="15.75" customHeight="1">
      <c r="D17" s="22" t="s">
        <v>103</v>
      </c>
      <c r="E17">
        <f>AVERAGE(E2:E11)</f>
        <v>22.75</v>
      </c>
    </row>
    <row r="18" spans="4:7" ht="15.75" customHeight="1">
      <c r="D18" s="22" t="s">
        <v>104</v>
      </c>
      <c r="E18">
        <f>COUNT(E2:E11)</f>
        <v>8</v>
      </c>
    </row>
    <row r="19" spans="4:7" ht="15.75" customHeight="1">
      <c r="D19" s="22" t="s">
        <v>105</v>
      </c>
      <c r="E19">
        <f>COUNTBLANK(E2:E11)</f>
        <v>2</v>
      </c>
    </row>
    <row r="20" spans="4:7" ht="15.75" customHeight="1">
      <c r="D20" s="22" t="s">
        <v>106</v>
      </c>
      <c r="E20">
        <f>POWER(G13,2)</f>
        <v>1156</v>
      </c>
    </row>
    <row r="21" spans="4:7" ht="15.75" customHeight="1">
      <c r="D21" s="22" t="s">
        <v>107</v>
      </c>
      <c r="E21" s="24" t="str">
        <f>CONCATENATE(B11,C11)</f>
        <v>AF0415249Gaurav Yadav</v>
      </c>
      <c r="G21" t="str">
        <f>TRIM(G13)</f>
        <v>34</v>
      </c>
    </row>
    <row r="22" spans="4:7" ht="15.75" customHeight="1">
      <c r="D22" s="22" t="s">
        <v>108</v>
      </c>
      <c r="E22" t="str">
        <f>TRIM(C11)</f>
        <v>Gaurav Yadav</v>
      </c>
    </row>
    <row r="23" spans="4:7" ht="15.75" customHeight="1">
      <c r="D23" s="22" t="s">
        <v>109</v>
      </c>
      <c r="E23" t="str">
        <f>REPLACE(C11,1,6, "Arnav")</f>
        <v>Arnav Yadav</v>
      </c>
    </row>
    <row r="24" spans="4:7" ht="15.75" customHeight="1">
      <c r="D24" s="22" t="s">
        <v>110</v>
      </c>
      <c r="E24" t="str">
        <f>LEFT(C10,4)</f>
        <v>Sona</v>
      </c>
    </row>
    <row r="25" spans="4:7" ht="15.75" customHeight="1">
      <c r="D25" s="22" t="s">
        <v>111</v>
      </c>
      <c r="E25" t="str">
        <f>MID(C10,8,9)</f>
        <v>Raghunath</v>
      </c>
    </row>
    <row r="26" spans="4:7" ht="15.75" customHeight="1">
      <c r="D26" s="22" t="s">
        <v>112</v>
      </c>
      <c r="E26" t="str">
        <f>RIGHT(C10,5)</f>
        <v>Thule</v>
      </c>
    </row>
    <row r="27" spans="4:7" ht="15.75" customHeight="1">
      <c r="D27" s="22" t="s">
        <v>113</v>
      </c>
      <c r="E27" t="str">
        <f>UPPER(C10)</f>
        <v>SONALI RAGHUNATH THULE</v>
      </c>
    </row>
    <row r="28" spans="4:7" ht="15.75" customHeight="1">
      <c r="D28" s="22" t="s">
        <v>114</v>
      </c>
      <c r="E28" t="str">
        <f>LOWER(C8)</f>
        <v>tejas shivaji belote</v>
      </c>
    </row>
    <row r="29" spans="4:7" ht="15.75" customHeight="1">
      <c r="D29" s="22" t="s">
        <v>115</v>
      </c>
      <c r="E29" s="25">
        <f ca="1">NOW()</f>
        <v>46157.05263564815</v>
      </c>
    </row>
    <row r="30" spans="4:7" ht="15.75" customHeight="1">
      <c r="D30" s="22" t="s">
        <v>116</v>
      </c>
      <c r="E30">
        <f ca="1">SECOND(NOW())</f>
        <v>48</v>
      </c>
    </row>
    <row r="31" spans="4:7" ht="15.75" customHeight="1">
      <c r="D31" s="22" t="s">
        <v>117</v>
      </c>
      <c r="E31">
        <f ca="1">DAY(TODAY())</f>
        <v>15</v>
      </c>
    </row>
    <row r="32" spans="4:7" ht="15.75" customHeight="1">
      <c r="D32" s="22" t="s">
        <v>118</v>
      </c>
      <c r="E32">
        <f ca="1">MONTH(TODAY())</f>
        <v>5</v>
      </c>
    </row>
    <row r="33" spans="4:5" ht="15.75" customHeight="1">
      <c r="D33" s="22" t="s">
        <v>119</v>
      </c>
      <c r="E33">
        <f ca="1">YEAR(TODAY())</f>
        <v>2026</v>
      </c>
    </row>
    <row r="34" spans="4:5" ht="15.75" customHeight="1">
      <c r="D34" s="22" t="s">
        <v>120</v>
      </c>
      <c r="E34" t="str">
        <f>IF(E10&gt;18,"Eligible","not eligible")</f>
        <v>not eligible</v>
      </c>
    </row>
  </sheetData>
  <hyperlinks>
    <hyperlink ref="A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TANISHQ SHAH</dc:creator>
  <cp:lastModifiedBy>ALPHA</cp:lastModifiedBy>
  <dcterms:created xsi:type="dcterms:W3CDTF">2026-05-14T08:07:49Z</dcterms:created>
  <dcterms:modified xsi:type="dcterms:W3CDTF">2026-05-14T19:47:18Z</dcterms:modified>
</cp:coreProperties>
</file>