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 activeTab="5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heet1" sheetId="6" r:id="rId6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" l="1"/>
  <c r="C21" i="6"/>
  <c r="C20" i="6"/>
  <c r="C19" i="6"/>
  <c r="C18" i="6"/>
  <c r="C17" i="6"/>
  <c r="C16" i="6"/>
  <c r="C14" i="6"/>
  <c r="C13" i="6"/>
  <c r="C12" i="6"/>
  <c r="C10" i="6"/>
  <c r="C11" i="6"/>
  <c r="C9" i="6"/>
  <c r="C8" i="6"/>
  <c r="C7" i="6"/>
  <c r="C6" i="6"/>
  <c r="C5" i="6"/>
  <c r="C4" i="6"/>
  <c r="C3" i="6"/>
  <c r="C2" i="6"/>
</calcChain>
</file>

<file path=xl/sharedStrings.xml><?xml version="1.0" encoding="utf-8"?>
<sst xmlns="http://schemas.openxmlformats.org/spreadsheetml/2006/main" count="279" uniqueCount="84">
  <si>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</si>
  <si>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</si>
  <si>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</si>
  <si>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</si>
  <si>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</si>
  <si>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</si>
  <si>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</si>
  <si>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</si>
  <si>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</si>
  <si>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</si>
  <si>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</si>
  <si>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</si>
  <si>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</si>
  <si>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</si>
  <si>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</si>
  <si>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</si>
  <si>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</si>
  <si>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</si>
  <si>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</si>
  <si>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</si>
  <si>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</si>
  <si>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</si>
  <si>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</si>
  <si>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</si>
  <si>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</si>
  <si>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</si>
  <si>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</si>
  <si>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</si>
  <si>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</si>
  <si>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</si>
  <si>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</si>
  <si>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</si>
  <si>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</si>
  <si>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</si>
  <si>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</si>
  <si>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</si>
  <si>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</si>
  <si>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</si>
  <si>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</si>
  <si>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</si>
  <si>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</si>
  <si>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</si>
  <si>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</si>
  <si>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</si>
  <si>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</si>
  <si>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</si>
  <si>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</si>
  <si>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</si>
  <si>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</si>
  <si>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</si>
  <si>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</si>
  <si>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</si>
  <si>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</si>
  <si>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</si>
  <si>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</si>
  <si>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</si>
  <si>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</si>
  <si>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</si>
  <si>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</si>
  <si>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</si>
  <si>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</si>
  <si>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Find the Age of the student with ID = 10</t>
  </si>
  <si>
    <t>Find the Marks of the student with ID = 25</t>
  </si>
  <si>
    <t>Find the City of the student with ID = 40</t>
  </si>
  <si>
    <t>Find the Name of the student with ID = 7.</t>
  </si>
  <si>
    <t>Find the Marks of the student named Rohit Sharma.</t>
  </si>
  <si>
    <t>Find the Age of the student named Anjali Gupta.</t>
  </si>
  <si>
    <t xml:space="preserve"> Find the City of the student named Neha Singh.</t>
  </si>
  <si>
    <t>srno.</t>
  </si>
  <si>
    <t>query</t>
  </si>
  <si>
    <t>solution</t>
  </si>
  <si>
    <t xml:space="preserve"> Using ID_Marks sheet, fetch the marks of ID = 18.</t>
  </si>
  <si>
    <t>Using ID_City sheet, find the city of ID = 12.</t>
  </si>
  <si>
    <t>From ID_Name sheet, find the student name with ID = 30.</t>
  </si>
  <si>
    <t>. From Students sheet, return the city of ID = 5</t>
  </si>
  <si>
    <t>Return the marks of student whose ID = 33</t>
  </si>
  <si>
    <t>Find the Name of student whose ID = 49.</t>
  </si>
  <si>
    <t>Find the Marks of student who lives in Lucknow (first match).</t>
  </si>
  <si>
    <t>From Sample_20 sheet, fetch the Age of student with ID = 22.</t>
  </si>
  <si>
    <t>From Sample_20, find City of ID = 37.</t>
  </si>
  <si>
    <t>Find the Age of the student named Arjun Yadav.</t>
  </si>
  <si>
    <t>Return the City of the student named Pooja Verma</t>
  </si>
  <si>
    <t>Using VLOOKUP, return Marks of ID = 15 from ID_Marks.</t>
  </si>
  <si>
    <t>Using VLOOKUP, return Name of ID = 28 from ID_Name.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</si>
</sst>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27" workbookViewId="0">
      <selection activeCell="E57" sqref="E57"/>
    </sheetView>
  </sheetViews>
  <sheetFormatPr defaultRowHeight="15" x14ac:dyDescent="0.25"/>
  <cols>
    <col min="2" max="2" width="14.28515625" customWidth="1"/>
    <col min="9" max="9" width="18.5703125" customWidth="1"/>
  </cols>
  <sheetData>
    <row r="1" spans="1:5" ht="14.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5" x14ac:dyDescent="0.3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ht="14.45" x14ac:dyDescent="0.3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ht="14.45" x14ac:dyDescent="0.3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ht="14.45" x14ac:dyDescent="0.3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ht="14.45" x14ac:dyDescent="0.3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ht="14.45" x14ac:dyDescent="0.3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ht="14.45" x14ac:dyDescent="0.3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ht="14.45" x14ac:dyDescent="0.3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ht="14.45" x14ac:dyDescent="0.3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ht="14.45" x14ac:dyDescent="0.3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ht="14.45" x14ac:dyDescent="0.3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ht="14.45" x14ac:dyDescent="0.3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ht="14.45" x14ac:dyDescent="0.3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ht="14.45" x14ac:dyDescent="0.3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ht="14.45" x14ac:dyDescent="0.3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ht="14.45" x14ac:dyDescent="0.3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ht="14.45" x14ac:dyDescent="0.3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ht="14.45" x14ac:dyDescent="0.3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ht="14.45" x14ac:dyDescent="0.3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ht="14.45" x14ac:dyDescent="0.3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ht="14.45" x14ac:dyDescent="0.3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ht="14.45" x14ac:dyDescent="0.3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ht="14.45" x14ac:dyDescent="0.3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ht="14.45" x14ac:dyDescent="0.3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ht="14.45" x14ac:dyDescent="0.3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ht="14.45" x14ac:dyDescent="0.3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ht="14.45" x14ac:dyDescent="0.3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ht="14.45" x14ac:dyDescent="0.3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ht="14.45" x14ac:dyDescent="0.3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ht="14.45" x14ac:dyDescent="0.3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26" workbookViewId="0"/>
  </sheetViews>
  <sheetFormatPr defaultRowHeight="15" x14ac:dyDescent="0.25"/>
  <sheetData>
    <row r="1" spans="1:2" ht="14.45" x14ac:dyDescent="0.35">
      <c r="A1" s="1" t="s">
        <v>0</v>
      </c>
      <c r="B1" s="1" t="s">
        <v>1</v>
      </c>
    </row>
    <row r="2" spans="1:2" ht="14.45" x14ac:dyDescent="0.35">
      <c r="A2">
        <v>1</v>
      </c>
      <c r="B2" t="s">
        <v>5</v>
      </c>
    </row>
    <row r="3" spans="1:2" ht="14.45" x14ac:dyDescent="0.35">
      <c r="A3">
        <v>2</v>
      </c>
      <c r="B3" t="s">
        <v>7</v>
      </c>
    </row>
    <row r="4" spans="1:2" ht="14.45" x14ac:dyDescent="0.35">
      <c r="A4">
        <v>3</v>
      </c>
      <c r="B4" t="s">
        <v>9</v>
      </c>
    </row>
    <row r="5" spans="1:2" ht="14.45" x14ac:dyDescent="0.35">
      <c r="A5">
        <v>4</v>
      </c>
      <c r="B5" t="s">
        <v>11</v>
      </c>
    </row>
    <row r="6" spans="1:2" ht="14.45" x14ac:dyDescent="0.35">
      <c r="A6">
        <v>5</v>
      </c>
      <c r="B6" t="s">
        <v>12</v>
      </c>
    </row>
    <row r="7" spans="1:2" ht="14.45" x14ac:dyDescent="0.35">
      <c r="A7">
        <v>6</v>
      </c>
      <c r="B7" t="s">
        <v>14</v>
      </c>
    </row>
    <row r="8" spans="1:2" ht="14.45" x14ac:dyDescent="0.35">
      <c r="A8">
        <v>7</v>
      </c>
      <c r="B8" t="s">
        <v>15</v>
      </c>
    </row>
    <row r="9" spans="1:2" ht="14.45" x14ac:dyDescent="0.35">
      <c r="A9">
        <v>8</v>
      </c>
      <c r="B9" t="s">
        <v>17</v>
      </c>
    </row>
    <row r="10" spans="1:2" ht="14.45" x14ac:dyDescent="0.35">
      <c r="A10">
        <v>9</v>
      </c>
      <c r="B10" t="s">
        <v>18</v>
      </c>
    </row>
    <row r="11" spans="1:2" ht="14.45" x14ac:dyDescent="0.35">
      <c r="A11">
        <v>10</v>
      </c>
      <c r="B11" t="s">
        <v>19</v>
      </c>
    </row>
    <row r="12" spans="1:2" ht="14.45" x14ac:dyDescent="0.35">
      <c r="A12">
        <v>11</v>
      </c>
      <c r="B12" t="s">
        <v>20</v>
      </c>
    </row>
    <row r="13" spans="1:2" ht="14.45" x14ac:dyDescent="0.35">
      <c r="A13">
        <v>12</v>
      </c>
      <c r="B13" t="s">
        <v>21</v>
      </c>
    </row>
    <row r="14" spans="1:2" ht="14.45" x14ac:dyDescent="0.35">
      <c r="A14">
        <v>13</v>
      </c>
      <c r="B14" t="s">
        <v>23</v>
      </c>
    </row>
    <row r="15" spans="1:2" ht="14.45" x14ac:dyDescent="0.35">
      <c r="A15">
        <v>14</v>
      </c>
      <c r="B15" t="s">
        <v>24</v>
      </c>
    </row>
    <row r="16" spans="1:2" ht="14.45" x14ac:dyDescent="0.35">
      <c r="A16">
        <v>15</v>
      </c>
      <c r="B16" t="s">
        <v>25</v>
      </c>
    </row>
    <row r="17" spans="1:2" ht="14.45" x14ac:dyDescent="0.35">
      <c r="A17">
        <v>16</v>
      </c>
      <c r="B17" t="s">
        <v>26</v>
      </c>
    </row>
    <row r="18" spans="1:2" ht="14.45" x14ac:dyDescent="0.35">
      <c r="A18">
        <v>17</v>
      </c>
      <c r="B18" t="s">
        <v>28</v>
      </c>
    </row>
    <row r="19" spans="1:2" ht="14.45" x14ac:dyDescent="0.35">
      <c r="A19">
        <v>18</v>
      </c>
      <c r="B19" t="s">
        <v>30</v>
      </c>
    </row>
    <row r="20" spans="1:2" ht="14.45" x14ac:dyDescent="0.35">
      <c r="A20">
        <v>19</v>
      </c>
      <c r="B20" t="s">
        <v>31</v>
      </c>
    </row>
    <row r="21" spans="1:2" ht="14.45" x14ac:dyDescent="0.35">
      <c r="A21">
        <v>20</v>
      </c>
      <c r="B21" t="s">
        <v>32</v>
      </c>
    </row>
    <row r="22" spans="1:2" ht="14.45" x14ac:dyDescent="0.35">
      <c r="A22">
        <v>21</v>
      </c>
      <c r="B22" t="s">
        <v>33</v>
      </c>
    </row>
    <row r="23" spans="1:2" ht="14.45" x14ac:dyDescent="0.35">
      <c r="A23">
        <v>22</v>
      </c>
      <c r="B23" t="s">
        <v>34</v>
      </c>
    </row>
    <row r="24" spans="1:2" ht="14.45" x14ac:dyDescent="0.35">
      <c r="A24">
        <v>23</v>
      </c>
      <c r="B24" t="s">
        <v>35</v>
      </c>
    </row>
    <row r="25" spans="1:2" ht="14.45" x14ac:dyDescent="0.35">
      <c r="A25">
        <v>24</v>
      </c>
      <c r="B25" t="s">
        <v>7</v>
      </c>
    </row>
    <row r="26" spans="1:2" ht="14.45" x14ac:dyDescent="0.35">
      <c r="A26">
        <v>25</v>
      </c>
      <c r="B26" t="s">
        <v>21</v>
      </c>
    </row>
    <row r="27" spans="1:2" ht="14.45" x14ac:dyDescent="0.35">
      <c r="A27">
        <v>26</v>
      </c>
      <c r="B27" t="s">
        <v>36</v>
      </c>
    </row>
    <row r="28" spans="1:2" ht="14.45" x14ac:dyDescent="0.35">
      <c r="A28">
        <v>27</v>
      </c>
      <c r="B28" t="s">
        <v>37</v>
      </c>
    </row>
    <row r="29" spans="1:2" ht="14.45" x14ac:dyDescent="0.35">
      <c r="A29">
        <v>28</v>
      </c>
      <c r="B29" t="s">
        <v>38</v>
      </c>
    </row>
    <row r="30" spans="1:2" ht="14.45" x14ac:dyDescent="0.35">
      <c r="A30">
        <v>29</v>
      </c>
      <c r="B30" t="s">
        <v>39</v>
      </c>
    </row>
    <row r="31" spans="1:2" ht="14.45" x14ac:dyDescent="0.3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sheetData>
    <row r="1" spans="1:2" ht="14.45" x14ac:dyDescent="0.35">
      <c r="A1" s="1" t="s">
        <v>0</v>
      </c>
      <c r="B1" s="1" t="s">
        <v>3</v>
      </c>
    </row>
    <row r="2" spans="1:2" ht="14.45" x14ac:dyDescent="0.35">
      <c r="A2">
        <v>1</v>
      </c>
      <c r="B2">
        <v>69</v>
      </c>
    </row>
    <row r="3" spans="1:2" ht="14.45" x14ac:dyDescent="0.35">
      <c r="A3">
        <v>2</v>
      </c>
      <c r="B3">
        <v>49</v>
      </c>
    </row>
    <row r="4" spans="1:2" ht="14.45" x14ac:dyDescent="0.35">
      <c r="A4">
        <v>3</v>
      </c>
      <c r="B4">
        <v>88</v>
      </c>
    </row>
    <row r="5" spans="1:2" ht="14.45" x14ac:dyDescent="0.35">
      <c r="A5">
        <v>4</v>
      </c>
      <c r="B5">
        <v>60</v>
      </c>
    </row>
    <row r="6" spans="1:2" ht="14.45" x14ac:dyDescent="0.35">
      <c r="A6">
        <v>5</v>
      </c>
      <c r="B6">
        <v>62</v>
      </c>
    </row>
    <row r="7" spans="1:2" ht="14.45" x14ac:dyDescent="0.35">
      <c r="A7">
        <v>6</v>
      </c>
      <c r="B7">
        <v>66</v>
      </c>
    </row>
    <row r="8" spans="1:2" ht="14.45" x14ac:dyDescent="0.35">
      <c r="A8">
        <v>7</v>
      </c>
      <c r="B8">
        <v>64</v>
      </c>
    </row>
    <row r="9" spans="1:2" ht="14.45" x14ac:dyDescent="0.35">
      <c r="A9">
        <v>8</v>
      </c>
      <c r="B9">
        <v>73</v>
      </c>
    </row>
    <row r="10" spans="1:2" ht="14.45" x14ac:dyDescent="0.35">
      <c r="A10">
        <v>9</v>
      </c>
      <c r="B10">
        <v>83</v>
      </c>
    </row>
    <row r="11" spans="1:2" ht="14.45" x14ac:dyDescent="0.35">
      <c r="A11">
        <v>10</v>
      </c>
      <c r="B11">
        <v>52</v>
      </c>
    </row>
    <row r="12" spans="1:2" ht="14.45" x14ac:dyDescent="0.35">
      <c r="A12">
        <v>11</v>
      </c>
      <c r="B12">
        <v>92</v>
      </c>
    </row>
    <row r="13" spans="1:2" ht="14.45" x14ac:dyDescent="0.35">
      <c r="A13">
        <v>12</v>
      </c>
      <c r="B13">
        <v>60</v>
      </c>
    </row>
    <row r="14" spans="1:2" ht="14.45" x14ac:dyDescent="0.35">
      <c r="A14">
        <v>13</v>
      </c>
      <c r="B14">
        <v>54</v>
      </c>
    </row>
    <row r="15" spans="1:2" ht="14.45" x14ac:dyDescent="0.35">
      <c r="A15">
        <v>14</v>
      </c>
      <c r="B15">
        <v>77</v>
      </c>
    </row>
    <row r="16" spans="1:2" ht="14.45" x14ac:dyDescent="0.35">
      <c r="A16">
        <v>15</v>
      </c>
      <c r="B16">
        <v>51</v>
      </c>
    </row>
    <row r="17" spans="1:2" ht="14.45" x14ac:dyDescent="0.35">
      <c r="A17">
        <v>16</v>
      </c>
      <c r="B17">
        <v>99</v>
      </c>
    </row>
    <row r="18" spans="1:2" ht="14.45" x14ac:dyDescent="0.35">
      <c r="A18">
        <v>17</v>
      </c>
      <c r="B18">
        <v>87</v>
      </c>
    </row>
    <row r="19" spans="1:2" ht="14.45" x14ac:dyDescent="0.35">
      <c r="A19">
        <v>18</v>
      </c>
      <c r="B19">
        <v>85</v>
      </c>
    </row>
    <row r="20" spans="1:2" ht="14.45" x14ac:dyDescent="0.35">
      <c r="A20">
        <v>19</v>
      </c>
      <c r="B20">
        <v>53</v>
      </c>
    </row>
    <row r="21" spans="1:2" ht="14.45" x14ac:dyDescent="0.35">
      <c r="A21">
        <v>20</v>
      </c>
      <c r="B21">
        <v>50</v>
      </c>
    </row>
    <row r="22" spans="1:2" ht="14.45" x14ac:dyDescent="0.35">
      <c r="A22">
        <v>21</v>
      </c>
      <c r="B22">
        <v>76</v>
      </c>
    </row>
    <row r="23" spans="1:2" ht="14.45" x14ac:dyDescent="0.35">
      <c r="A23">
        <v>22</v>
      </c>
      <c r="B23">
        <v>43</v>
      </c>
    </row>
    <row r="24" spans="1:2" ht="14.45" x14ac:dyDescent="0.35">
      <c r="A24">
        <v>23</v>
      </c>
      <c r="B24">
        <v>81</v>
      </c>
    </row>
    <row r="25" spans="1:2" ht="14.45" x14ac:dyDescent="0.35">
      <c r="A25">
        <v>24</v>
      </c>
      <c r="B25">
        <v>68</v>
      </c>
    </row>
    <row r="26" spans="1:2" ht="14.45" x14ac:dyDescent="0.35">
      <c r="A26">
        <v>25</v>
      </c>
      <c r="B26">
        <v>54</v>
      </c>
    </row>
    <row r="27" spans="1:2" ht="14.45" x14ac:dyDescent="0.35">
      <c r="A27">
        <v>26</v>
      </c>
      <c r="B27">
        <v>48</v>
      </c>
    </row>
    <row r="28" spans="1:2" ht="14.45" x14ac:dyDescent="0.35">
      <c r="A28">
        <v>27</v>
      </c>
      <c r="B28">
        <v>71</v>
      </c>
    </row>
    <row r="29" spans="1:2" ht="14.45" x14ac:dyDescent="0.35">
      <c r="A29">
        <v>28</v>
      </c>
      <c r="B29">
        <v>57</v>
      </c>
    </row>
    <row r="30" spans="1:2" ht="14.45" x14ac:dyDescent="0.35">
      <c r="A30">
        <v>29</v>
      </c>
      <c r="B30">
        <v>78</v>
      </c>
    </row>
    <row r="31" spans="1:2" ht="14.45" x14ac:dyDescent="0.3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31" workbookViewId="0"/>
  </sheetViews>
  <sheetFormatPr defaultRowHeight="15" x14ac:dyDescent="0.25"/>
  <sheetData>
    <row r="1" spans="1:2" ht="14.45" x14ac:dyDescent="0.35">
      <c r="A1" s="1" t="s">
        <v>0</v>
      </c>
      <c r="B1" s="1" t="s">
        <v>4</v>
      </c>
    </row>
    <row r="2" spans="1:2" ht="14.45" x14ac:dyDescent="0.35">
      <c r="A2">
        <v>1</v>
      </c>
      <c r="B2" t="s">
        <v>6</v>
      </c>
    </row>
    <row r="3" spans="1:2" ht="14.45" x14ac:dyDescent="0.35">
      <c r="A3">
        <v>2</v>
      </c>
      <c r="B3" t="s">
        <v>8</v>
      </c>
    </row>
    <row r="4" spans="1:2" ht="14.45" x14ac:dyDescent="0.35">
      <c r="A4">
        <v>3</v>
      </c>
      <c r="B4" t="s">
        <v>10</v>
      </c>
    </row>
    <row r="5" spans="1:2" ht="14.45" x14ac:dyDescent="0.35">
      <c r="A5">
        <v>4</v>
      </c>
      <c r="B5" t="s">
        <v>6</v>
      </c>
    </row>
    <row r="6" spans="1:2" ht="14.45" x14ac:dyDescent="0.35">
      <c r="A6">
        <v>5</v>
      </c>
      <c r="B6" t="s">
        <v>13</v>
      </c>
    </row>
    <row r="7" spans="1:2" ht="14.45" x14ac:dyDescent="0.35">
      <c r="A7">
        <v>6</v>
      </c>
      <c r="B7" t="s">
        <v>13</v>
      </c>
    </row>
    <row r="8" spans="1:2" ht="14.45" x14ac:dyDescent="0.35">
      <c r="A8">
        <v>7</v>
      </c>
      <c r="B8" t="s">
        <v>16</v>
      </c>
    </row>
    <row r="9" spans="1:2" ht="14.45" x14ac:dyDescent="0.35">
      <c r="A9">
        <v>8</v>
      </c>
      <c r="B9" t="s">
        <v>6</v>
      </c>
    </row>
    <row r="10" spans="1:2" ht="14.45" x14ac:dyDescent="0.35">
      <c r="A10">
        <v>9</v>
      </c>
      <c r="B10" t="s">
        <v>13</v>
      </c>
    </row>
    <row r="11" spans="1:2" ht="14.45" x14ac:dyDescent="0.35">
      <c r="A11">
        <v>10</v>
      </c>
      <c r="B11" t="s">
        <v>16</v>
      </c>
    </row>
    <row r="12" spans="1:2" ht="14.45" x14ac:dyDescent="0.35">
      <c r="A12">
        <v>11</v>
      </c>
      <c r="B12" t="s">
        <v>8</v>
      </c>
    </row>
    <row r="13" spans="1:2" ht="14.45" x14ac:dyDescent="0.35">
      <c r="A13">
        <v>12</v>
      </c>
      <c r="B13" t="s">
        <v>22</v>
      </c>
    </row>
    <row r="14" spans="1:2" ht="14.45" x14ac:dyDescent="0.35">
      <c r="A14">
        <v>13</v>
      </c>
      <c r="B14" t="s">
        <v>13</v>
      </c>
    </row>
    <row r="15" spans="1:2" ht="14.45" x14ac:dyDescent="0.35">
      <c r="A15">
        <v>14</v>
      </c>
      <c r="B15" t="s">
        <v>16</v>
      </c>
    </row>
    <row r="16" spans="1:2" ht="14.45" x14ac:dyDescent="0.35">
      <c r="A16">
        <v>15</v>
      </c>
      <c r="B16" t="s">
        <v>16</v>
      </c>
    </row>
    <row r="17" spans="1:2" ht="14.45" x14ac:dyDescent="0.35">
      <c r="A17">
        <v>16</v>
      </c>
      <c r="B17" t="s">
        <v>27</v>
      </c>
    </row>
    <row r="18" spans="1:2" ht="14.45" x14ac:dyDescent="0.35">
      <c r="A18">
        <v>17</v>
      </c>
      <c r="B18" t="s">
        <v>29</v>
      </c>
    </row>
    <row r="19" spans="1:2" ht="14.45" x14ac:dyDescent="0.35">
      <c r="A19">
        <v>18</v>
      </c>
      <c r="B19" t="s">
        <v>22</v>
      </c>
    </row>
    <row r="20" spans="1:2" ht="14.45" x14ac:dyDescent="0.35">
      <c r="A20">
        <v>19</v>
      </c>
      <c r="B20" t="s">
        <v>10</v>
      </c>
    </row>
    <row r="21" spans="1:2" ht="14.45" x14ac:dyDescent="0.35">
      <c r="A21">
        <v>20</v>
      </c>
      <c r="B21" t="s">
        <v>29</v>
      </c>
    </row>
    <row r="22" spans="1:2" ht="14.45" x14ac:dyDescent="0.35">
      <c r="A22">
        <v>21</v>
      </c>
      <c r="B22" t="s">
        <v>8</v>
      </c>
    </row>
    <row r="23" spans="1:2" ht="14.45" x14ac:dyDescent="0.35">
      <c r="A23">
        <v>22</v>
      </c>
      <c r="B23" t="s">
        <v>29</v>
      </c>
    </row>
    <row r="24" spans="1:2" ht="14.45" x14ac:dyDescent="0.35">
      <c r="A24">
        <v>23</v>
      </c>
      <c r="B24" t="s">
        <v>10</v>
      </c>
    </row>
    <row r="25" spans="1:2" ht="14.45" x14ac:dyDescent="0.35">
      <c r="A25">
        <v>24</v>
      </c>
      <c r="B25" t="s">
        <v>27</v>
      </c>
    </row>
    <row r="26" spans="1:2" ht="14.45" x14ac:dyDescent="0.35">
      <c r="A26">
        <v>25</v>
      </c>
      <c r="B26" t="s">
        <v>27</v>
      </c>
    </row>
    <row r="27" spans="1:2" ht="14.45" x14ac:dyDescent="0.35">
      <c r="A27">
        <v>26</v>
      </c>
      <c r="B27" t="s">
        <v>29</v>
      </c>
    </row>
    <row r="28" spans="1:2" ht="14.45" x14ac:dyDescent="0.35">
      <c r="A28">
        <v>27</v>
      </c>
      <c r="B28" t="s">
        <v>22</v>
      </c>
    </row>
    <row r="29" spans="1:2" ht="14.45" x14ac:dyDescent="0.35">
      <c r="A29">
        <v>28</v>
      </c>
      <c r="B29" t="s">
        <v>13</v>
      </c>
    </row>
    <row r="30" spans="1:2" ht="14.45" x14ac:dyDescent="0.35">
      <c r="A30">
        <v>29</v>
      </c>
      <c r="B30" t="s">
        <v>16</v>
      </c>
    </row>
    <row r="31" spans="1:2" ht="14.45" x14ac:dyDescent="0.3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x14ac:dyDescent="0.2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3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3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3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3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3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3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3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3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3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3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3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3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3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3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3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3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3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3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3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15" sqref="C15"/>
    </sheetView>
  </sheetViews>
  <sheetFormatPr defaultRowHeight="15" x14ac:dyDescent="0.25"/>
  <cols>
    <col min="2" max="2" width="54.85546875" customWidth="1"/>
    <col min="3" max="3" width="23.140625" customWidth="1"/>
  </cols>
  <sheetData>
    <row r="1" spans="1:3" x14ac:dyDescent="0.25">
      <c r="A1" s="2" t="s">
        <v>68</v>
      </c>
      <c r="B1" s="2" t="s">
        <v>69</v>
      </c>
      <c r="C1" s="2" t="s">
        <v>70</v>
      </c>
    </row>
    <row r="2" spans="1:3" x14ac:dyDescent="0.25">
      <c r="A2">
        <v>1</v>
      </c>
      <c r="B2" t="s">
        <v>61</v>
      </c>
      <c r="C2">
        <f>VLOOKUP(10,Students!A2:E51,3,FALSE)</f>
        <v>30</v>
      </c>
    </row>
    <row r="3" spans="1:3" x14ac:dyDescent="0.25">
      <c r="A3">
        <v>2</v>
      </c>
      <c r="B3" t="s">
        <v>62</v>
      </c>
      <c r="C3">
        <f>VLOOKUP(25,Students!A2:E51,4,FALSE)</f>
        <v>54</v>
      </c>
    </row>
    <row r="4" spans="1:3" x14ac:dyDescent="0.25">
      <c r="A4">
        <v>3</v>
      </c>
      <c r="B4" t="s">
        <v>63</v>
      </c>
      <c r="C4" t="str">
        <f>VLOOKUP(40,Students!A2:E51,5,FALSE)</f>
        <v>Agra</v>
      </c>
    </row>
    <row r="5" spans="1:3" x14ac:dyDescent="0.25">
      <c r="A5">
        <v>4</v>
      </c>
      <c r="B5" t="s">
        <v>64</v>
      </c>
      <c r="C5" t="str">
        <f>VLOOKUP(7,Students!A2:E51,2,FALSE)</f>
        <v>Suresh Yadav</v>
      </c>
    </row>
    <row r="6" spans="1:3" x14ac:dyDescent="0.25">
      <c r="A6">
        <v>5</v>
      </c>
      <c r="B6" t="s">
        <v>65</v>
      </c>
      <c r="C6">
        <f>VLOOKUP("Rohit Sharma",Students!B2:E51,3,FALSE)</f>
        <v>52</v>
      </c>
    </row>
    <row r="7" spans="1:3" x14ac:dyDescent="0.25">
      <c r="A7">
        <v>6</v>
      </c>
      <c r="B7" t="s">
        <v>66</v>
      </c>
      <c r="C7" t="e">
        <f>VLOOKUP("Ajali Gupta",Students!B2:E51,2,0)</f>
        <v>#N/A</v>
      </c>
    </row>
    <row r="8" spans="1:3" x14ac:dyDescent="0.25">
      <c r="A8">
        <v>7</v>
      </c>
      <c r="B8" t="s">
        <v>67</v>
      </c>
      <c r="C8" t="e">
        <f>VLOOKUP("Neha Singh",Students!B2:B51,4,0)</f>
        <v>#N/A</v>
      </c>
    </row>
    <row r="9" spans="1:3" x14ac:dyDescent="0.25">
      <c r="A9">
        <v>8</v>
      </c>
      <c r="B9" t="s">
        <v>71</v>
      </c>
      <c r="C9">
        <f>VLOOKUP(18,ID_Marks!A2:B51,2,0)</f>
        <v>85</v>
      </c>
    </row>
    <row r="10" spans="1:3" x14ac:dyDescent="0.25">
      <c r="A10">
        <v>9</v>
      </c>
      <c r="B10" t="s">
        <v>72</v>
      </c>
      <c r="C10" t="str">
        <f>VLOOKUP(12,ID_City!A2:B51,2,0)</f>
        <v>Patna</v>
      </c>
    </row>
    <row r="11" spans="1:3" x14ac:dyDescent="0.25">
      <c r="A11">
        <v>10</v>
      </c>
      <c r="B11" t="s">
        <v>73</v>
      </c>
      <c r="C11" t="str">
        <f>VLOOKUP(30,ID_Name!A2:C51,2,0)</f>
        <v>Komal Sharma</v>
      </c>
    </row>
    <row r="12" spans="1:3" x14ac:dyDescent="0.25">
      <c r="A12">
        <v>11</v>
      </c>
      <c r="B12" t="s">
        <v>74</v>
      </c>
      <c r="C12" t="str">
        <f>VLOOKUP(5,Students!A2:E51,5,0)</f>
        <v>Lucknow</v>
      </c>
    </row>
    <row r="13" spans="1:3" x14ac:dyDescent="0.25">
      <c r="A13">
        <v>12</v>
      </c>
      <c r="B13" t="s">
        <v>75</v>
      </c>
      <c r="C13">
        <f>VLOOKUP(33,Students!A2:E51,4,FALSE)</f>
        <v>82</v>
      </c>
    </row>
    <row r="14" spans="1:3" x14ac:dyDescent="0.25">
      <c r="A14">
        <v>13</v>
      </c>
      <c r="B14" t="s">
        <v>76</v>
      </c>
      <c r="C14" t="str">
        <f>VLOOKUP(49,Students!A2:E51,2,0)</f>
        <v>Vivaan Jha</v>
      </c>
    </row>
    <row r="15" spans="1:3" x14ac:dyDescent="0.25">
      <c r="A15">
        <v>14</v>
      </c>
      <c r="B15" t="s">
        <v>77</v>
      </c>
      <c r="C15">
        <f>VLOOKUP("Lucknow",CHOOSE({1,2},Students!E2:E51,Students!D2:D51),2,FALSE)</f>
        <v>62</v>
      </c>
    </row>
    <row r="16" spans="1:3" x14ac:dyDescent="0.25">
      <c r="A16">
        <v>15</v>
      </c>
      <c r="B16" t="s">
        <v>78</v>
      </c>
      <c r="C16">
        <f>VLOOKUP(22,Sample_20!A2:E21,3,FALSE)</f>
        <v>28</v>
      </c>
    </row>
    <row r="17" spans="1:3" x14ac:dyDescent="0.25">
      <c r="A17">
        <v>16</v>
      </c>
      <c r="B17" t="s">
        <v>79</v>
      </c>
      <c r="C17" t="e">
        <f>VLOOKUP(37,Sample_20!A2:E21,5,FALSE)</f>
        <v>#N/A</v>
      </c>
    </row>
    <row r="18" spans="1:3" x14ac:dyDescent="0.25">
      <c r="A18">
        <v>17</v>
      </c>
      <c r="B18" t="s">
        <v>80</v>
      </c>
      <c r="C18" t="e">
        <f>VLOOKUP("Arjun Yadav",Students!A2:E51,2,FALSE)</f>
        <v>#N/A</v>
      </c>
    </row>
    <row r="19" spans="1:3" x14ac:dyDescent="0.25">
      <c r="A19">
        <v>18</v>
      </c>
      <c r="B19" t="s">
        <v>81</v>
      </c>
      <c r="C19" t="e">
        <f>VLOOKUP("Pooja Verma",Students!A2:E51,5,0)</f>
        <v>#N/A</v>
      </c>
    </row>
    <row r="20" spans="1:3" x14ac:dyDescent="0.25">
      <c r="A20">
        <v>19</v>
      </c>
      <c r="B20" t="s">
        <v>82</v>
      </c>
      <c r="C20">
        <f>VLOOKUP(15,ID_Marks!A2:B51,2,0)</f>
        <v>51</v>
      </c>
    </row>
    <row r="21" spans="1:3" x14ac:dyDescent="0.25">
      <c r="A21">
        <v>20</v>
      </c>
      <c r="B21" t="s">
        <v>83</v>
      </c>
      <c r="C21" t="str">
        <f>VLOOKUP(28,ID_Name!A2:C51,2,FALSE)</f>
        <v>Harsh Gupta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2025-09-29T08:00:59Z</dcterms:created>
  <dcterms:modified xsi:type="dcterms:W3CDTF">2026-05-18T08:20:47Z</dcterms:modified>
</cp:coreProperties>
</file>