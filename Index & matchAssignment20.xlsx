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85" windowHeight="691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<sst xmlns="http://schemas.openxmlformats.org/spreadsheetml/2006/main" count="32" uniqueCount="27">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</sst>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="85" zoomScaleNormal="85" workbookViewId="0">
      <selection activeCell="J17" sqref="J17"/>
    </sheetView>
  </sheetViews>
  <sheetFormatPr defaultRowHeight="15" x14ac:dyDescent="0.25"/>
  <cols>
    <col min="1" max="1" width="12.85546875" customWidth="1"/>
    <col min="2" max="2" width="11.140625" customWidth="1"/>
    <col min="3" max="3" width="12.42578125" customWidth="1"/>
    <col min="4" max="4" width="12.7109375" customWidth="1"/>
    <col min="5" max="5" width="13" customWidth="1"/>
    <col min="6" max="6" width="12.42578125" customWidth="1"/>
    <col min="7" max="7" width="12.5703125" customWidth="1"/>
    <col min="8" max="8" width="14.85546875" style="3" customWidth="1"/>
  </cols>
  <sheetData>
    <row r="1" spans="1:11" ht="14.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</v>
      </c>
    </row>
    <row r="2" spans="1:11" ht="14.45" x14ac:dyDescent="0.3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ht="14.45" x14ac:dyDescent="0.3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ht="14.45" x14ac:dyDescent="0.3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ht="14.45" x14ac:dyDescent="0.3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ht="14.45" x14ac:dyDescent="0.3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ht="14.45" x14ac:dyDescent="0.3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25">
      <c r="A9" s="10" t="s">
        <v>26</v>
      </c>
      <c r="B9" s="10"/>
      <c r="C9" s="10"/>
      <c r="D9" s="10"/>
      <c r="E9" s="10"/>
      <c r="F9" s="10"/>
      <c r="G9" s="10"/>
      <c r="H9" s="6" t="s">
        <v>25</v>
      </c>
    </row>
    <row r="10" spans="1:11" ht="14.45" customHeight="1" x14ac:dyDescent="0.25">
      <c r="A10" s="8" t="s">
        <v>22</v>
      </c>
      <c r="B10" s="8"/>
      <c r="C10" s="8"/>
      <c r="D10" s="8"/>
      <c r="E10" s="8"/>
      <c r="F10" s="8"/>
      <c r="G10" s="8"/>
      <c r="H10" s="7">
        <f>INDEX(D2:H7,MATCH("PRODC",B2:B7,0),MATCH("MAR SALES",D1:H1,0))</f>
        <v>220</v>
      </c>
    </row>
    <row r="11" spans="1:11" x14ac:dyDescent="0.25">
      <c r="A11" s="8" t="s">
        <v>16</v>
      </c>
      <c r="B11" s="8"/>
      <c r="C11" s="8"/>
      <c r="D11" s="8"/>
      <c r="E11" s="8"/>
      <c r="F11" s="8"/>
      <c r="G11" s="8"/>
      <c r="H11" s="7" t="str">
        <f>INDEX(C2:C7,MATCH("PRODE",B2:B7,0))</f>
        <v>Furniture</v>
      </c>
    </row>
    <row r="12" spans="1:11" ht="14.45" x14ac:dyDescent="0.35">
      <c r="A12" s="8" t="s">
        <v>17</v>
      </c>
      <c r="B12" s="8"/>
      <c r="C12" s="8"/>
      <c r="D12" s="8"/>
      <c r="E12" s="8"/>
      <c r="F12" s="8"/>
      <c r="G12" s="8"/>
      <c r="H12" s="7">
        <f>MAX(INDEX(D2:H7,MATCH("PRODB",B2:B7,0),0))</f>
        <v>190</v>
      </c>
    </row>
    <row r="13" spans="1:11" x14ac:dyDescent="0.25">
      <c r="A13" s="8" t="s">
        <v>18</v>
      </c>
      <c r="B13" s="8"/>
      <c r="C13" s="8"/>
      <c r="D13" s="8"/>
      <c r="E13" s="8"/>
      <c r="F13" s="8"/>
      <c r="G13" s="8"/>
      <c r="H13" s="7" t="str">
        <f>INDEX(D1:H1,MATCH(MAX(D2:H2),D2:H2,0))</f>
        <v>May Sales</v>
      </c>
    </row>
    <row r="14" spans="1:11" ht="14.45" customHeight="1" x14ac:dyDescent="0.25">
      <c r="A14" s="8" t="s">
        <v>19</v>
      </c>
      <c r="B14" s="8"/>
      <c r="C14" s="8"/>
      <c r="D14" s="8"/>
      <c r="E14" s="8"/>
      <c r="F14" s="8"/>
      <c r="G14" s="8"/>
      <c r="H14" s="7">
        <f>SUMIF(C2:C7,"Electronics",G2:G7)</f>
        <v>540</v>
      </c>
    </row>
    <row r="15" spans="1:11" x14ac:dyDescent="0.25">
      <c r="A15" s="8" t="s">
        <v>20</v>
      </c>
      <c r="B15" s="8"/>
      <c r="C15" s="8"/>
      <c r="D15" s="8"/>
      <c r="E15" s="8"/>
      <c r="F15" s="8"/>
      <c r="G15" s="8"/>
      <c r="H15" s="7">
        <f>AVERAGE(INDEX(D2:H7,MATCH("PRODD",B2:B7,0),0))</f>
        <v>110</v>
      </c>
    </row>
    <row r="16" spans="1:11" ht="14.45" customHeight="1" x14ac:dyDescent="0.25">
      <c r="A16" s="8" t="s">
        <v>23</v>
      </c>
      <c r="B16" s="8"/>
      <c r="C16" s="8"/>
      <c r="D16" s="8"/>
      <c r="E16" s="8"/>
      <c r="F16" s="8"/>
      <c r="G16" s="8"/>
      <c r="H16" s="7">
        <f>INDEX(H2:H7,MATCH(105,A2:A7,0))</f>
        <v>260</v>
      </c>
    </row>
    <row r="17" spans="1:8" ht="30.95" customHeight="1" x14ac:dyDescent="0.25">
      <c r="A17" s="9" t="s">
        <v>21</v>
      </c>
      <c r="B17" s="9"/>
      <c r="C17" s="9"/>
      <c r="D17" s="9"/>
      <c r="E17" s="9"/>
      <c r="F17" s="9"/>
      <c r="G17" s="9"/>
      <c r="H17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ALPHA</cp:lastModifiedBy>
  <dcterms:created xsi:type="dcterms:W3CDTF">2026-05-19T10:30:42Z</dcterms:created>
  <dcterms:modified xsi:type="dcterms:W3CDTF">2026-05-20T07:09:54Z</dcterms:modified>
</cp:coreProperties>
</file>