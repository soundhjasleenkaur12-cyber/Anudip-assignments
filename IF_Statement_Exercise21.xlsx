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8175"/>
  </bookViews>
  <sheets>
    <sheet name="SalesData" sheetId="1" r:id="rId1"/>
  </sheets>
  <calcPr calcId="14562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<sst xmlns="http://schemas.openxmlformats.org/spreadsheetml/2006/main" count="33" uniqueCount="31">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</sst>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M11" sqref="M11"/>
    </sheetView>
  </sheetViews>
  <sheetFormatPr defaultRowHeight="15"/>
  <cols>
    <col min="1" max="1" width="12" customWidth="1"/>
    <col min="2" max="2" width="15" customWidth="1"/>
    <col min="3" max="3" width="10" customWidth="1"/>
    <col min="4" max="4" width="13" customWidth="1"/>
    <col min="5" max="5" width="7.7109375" customWidth="1"/>
    <col min="6" max="6" width="15" customWidth="1"/>
    <col min="7" max="7" width="25" customWidth="1"/>
    <col min="8" max="8" width="18" customWidth="1"/>
    <col min="9" max="9" width="15" customWidth="1"/>
    <col min="10" max="10" width="17.7109375" customWidth="1"/>
    <col min="11" max="11" width="9.85546875" customWidth="1"/>
    <col min="12" max="12" width="15.7109375" customWidth="1"/>
    <col min="13" max="13" width="13.42578125" customWidth="1"/>
  </cols>
  <sheetData>
    <row r="1" spans="1:13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5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IF(AND(E2="NORTH",C2&gt;200),"ELIGIBLE","NOT ELIGIBLE")</f>
        <v>NOT ELIGIBLE</v>
      </c>
      <c r="H2">
        <f>IF(C2&gt;=200,10%,IF(C2&gt;=150,7%,5%))</f>
        <v>0.05</v>
      </c>
      <c r="I2">
        <f>IF(C2&gt;=D2,C2*0.1,C2*0.05)</f>
        <v>6</v>
      </c>
      <c r="J2" t="str">
        <f>IF(C2&gt;=200,"EXCELLENT",IF(C2&gt;=150,"good","need improvement"))</f>
        <v>need improvement</v>
      </c>
      <c r="K2" t="str">
        <f>IF(C2&gt;=200,"HIGH",IF(C2&gt;=100,"MEDIUM","LOW"))</f>
        <v>MEDIUM</v>
      </c>
      <c r="L2">
        <f>IF(AND(C2&gt;=150,E2="NORTH"),500,300)</f>
        <v>300</v>
      </c>
      <c r="M2" t="str">
        <f>IF(C2&gt;=PERCENTILE($C$2:$C$7,0.75),"YES","NO")</f>
        <v>NO</v>
      </c>
    </row>
    <row r="3" spans="1:13" ht="14.45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 t="shared" ref="F3:F7" si="0">IF(C3&gt;=D3,"yes","no")</f>
        <v>yes</v>
      </c>
      <c r="G3" t="str">
        <f t="shared" ref="G3:G7" si="1">IF(AND(E3="NORTH",C3&gt;200),"ELIGIBLE","NOT ELIGIBLE")</f>
        <v>NOT ELIGIBLE</v>
      </c>
      <c r="H3">
        <f t="shared" ref="H3:H7" si="2">IF(C3&gt;=200,10%,IF(C3&gt;=150,7%,5%))</f>
        <v>7.0000000000000007E-2</v>
      </c>
      <c r="I3">
        <f t="shared" ref="I3:I7" si="3">IF(C3&gt;=D3,C3*0.1,C3*0.05)</f>
        <v>15</v>
      </c>
      <c r="J3" t="str">
        <f t="shared" ref="J3:J7" si="4">IF(C3&gt;=200,"EXCELLENT",IF(C3&gt;=150,"good","need improvement"))</f>
        <v>good</v>
      </c>
      <c r="K3" t="str">
        <f t="shared" ref="K3:K7" si="5">IF(C3&gt;=200,"HIGH",IF(C3&gt;=100,"MEDIUM","LOW"))</f>
        <v>MEDIUM</v>
      </c>
      <c r="L3">
        <f t="shared" ref="L3:L7" si="6">IF(AND(C3&gt;=150,E3="NORTH"),500,300)</f>
        <v>300</v>
      </c>
      <c r="M3" t="str">
        <f t="shared" ref="M3:M7" si="7">IF(C3&gt;=PERCENTILE($C$2:$C$7,0.75),"YES","NO")</f>
        <v>NO</v>
      </c>
    </row>
    <row r="4" spans="1:13" ht="14.45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 t="shared" si="0"/>
        <v>yes</v>
      </c>
      <c r="G4" t="str">
        <f t="shared" si="1"/>
        <v>NOT ELIGIBLE</v>
      </c>
      <c r="H4">
        <f t="shared" si="2"/>
        <v>0.1</v>
      </c>
      <c r="I4">
        <f t="shared" si="3"/>
        <v>20</v>
      </c>
      <c r="J4" t="str">
        <f t="shared" si="4"/>
        <v>EXCELLENT</v>
      </c>
      <c r="K4" t="str">
        <f t="shared" si="5"/>
        <v>HIGH</v>
      </c>
      <c r="L4">
        <f t="shared" si="6"/>
        <v>300</v>
      </c>
      <c r="M4" t="str">
        <f t="shared" si="7"/>
        <v>YES</v>
      </c>
    </row>
    <row r="5" spans="1:13" ht="14.45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 t="shared" si="0"/>
        <v>no</v>
      </c>
      <c r="G5" t="str">
        <f t="shared" si="1"/>
        <v>NOT ELIGIBLE</v>
      </c>
      <c r="H5">
        <f t="shared" si="2"/>
        <v>0.05</v>
      </c>
      <c r="I5">
        <f t="shared" si="3"/>
        <v>4.5</v>
      </c>
      <c r="J5" t="str">
        <f t="shared" si="4"/>
        <v>need improvement</v>
      </c>
      <c r="K5" t="str">
        <f t="shared" si="5"/>
        <v>LOW</v>
      </c>
      <c r="L5">
        <f t="shared" si="6"/>
        <v>300</v>
      </c>
      <c r="M5" t="str">
        <f t="shared" si="7"/>
        <v>NO</v>
      </c>
    </row>
    <row r="6" spans="1:13" ht="14.45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 t="shared" si="0"/>
        <v>yes</v>
      </c>
      <c r="G6" t="str">
        <f t="shared" si="1"/>
        <v>ELIGIBLE</v>
      </c>
      <c r="H6">
        <f t="shared" si="2"/>
        <v>0.1</v>
      </c>
      <c r="I6">
        <f t="shared" si="3"/>
        <v>22</v>
      </c>
      <c r="J6" t="str">
        <f t="shared" si="4"/>
        <v>EXCELLENT</v>
      </c>
      <c r="K6" t="str">
        <f t="shared" si="5"/>
        <v>HIGH</v>
      </c>
      <c r="L6">
        <f t="shared" si="6"/>
        <v>500</v>
      </c>
      <c r="M6" t="str">
        <f t="shared" si="7"/>
        <v>YES</v>
      </c>
    </row>
    <row r="7" spans="1:13" ht="14.45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 t="shared" si="0"/>
        <v>no</v>
      </c>
      <c r="G7" t="str">
        <f t="shared" si="1"/>
        <v>NOT ELIGIBLE</v>
      </c>
      <c r="H7">
        <f t="shared" si="2"/>
        <v>0.05</v>
      </c>
      <c r="I7">
        <f t="shared" si="3"/>
        <v>6.5</v>
      </c>
      <c r="J7" t="str">
        <f t="shared" si="4"/>
        <v>need improvement</v>
      </c>
      <c r="K7" t="str">
        <f t="shared" si="5"/>
        <v>MEDIUM</v>
      </c>
      <c r="L7">
        <f t="shared" si="6"/>
        <v>300</v>
      </c>
      <c r="M7" t="str">
        <f t="shared" si="7"/>
        <v>NO</v>
      </c>
    </row>
    <row r="10" spans="1:13" ht="14.45">
      <c r="A10" t="s">
        <v>26</v>
      </c>
    </row>
    <row r="11" spans="1:13" ht="14.45">
      <c r="A11" t="s">
        <v>23</v>
      </c>
    </row>
    <row r="12" spans="1:13" ht="14.45">
      <c r="A12" t="s">
        <v>24</v>
      </c>
    </row>
    <row r="13" spans="1:13" ht="14.45">
      <c r="A13" t="s">
        <v>25</v>
      </c>
    </row>
    <row r="14" spans="1:13" ht="17.100000000000001" customHeight="1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4.45">
      <c r="A16" t="s">
        <v>27</v>
      </c>
    </row>
    <row r="17" spans="1:1" ht="14.45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2026-05-20T11:39:18Z</dcterms:created>
  <dcterms:modified xsi:type="dcterms:W3CDTF">2026-05-21T07:14:59Z</dcterms:modified>
</cp:coreProperties>
</file>